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G:\0-编辑-MG\000-编辑组项目\稿件\P项目\P995_吴奕豪\P995_原始实验数据\Figure 8\"/>
    </mc:Choice>
  </mc:AlternateContent>
  <xr:revisionPtr revIDLastSave="0" documentId="13_ncr:1_{D2941F7F-6BF6-4DA5-B903-5ED6BE2EE369}" xr6:coauthVersionLast="47" xr6:coauthVersionMax="47" xr10:uidLastSave="{00000000-0000-0000-0000-000000000000}"/>
  <bookViews>
    <workbookView xWindow="-110" yWindow="-110" windowWidth="21820" windowHeight="13900" tabRatio="724" xr2:uid="{00000000-000D-0000-FFFF-FFFF00000000}"/>
  </bookViews>
  <sheets>
    <sheet name="PCR 1" sheetId="25" r:id="rId1"/>
    <sheet name="PCR 1 raw data" sheetId="26" r:id="rId2"/>
    <sheet name="PCR 2" sheetId="27" r:id="rId3"/>
    <sheet name="PCR2 raw data" sheetId="28" r:id="rId4"/>
    <sheet name="CCK-8" sheetId="23" r:id="rId5"/>
    <sheet name="CCK-8 raw data" sheetId="24" r:id="rId6"/>
    <sheet name="Scratch" sheetId="4" r:id="rId7"/>
    <sheet name="Transwell" sheetId="3" r:id="rId8"/>
    <sheet name="ROS" sheetId="29" r:id="rId9"/>
    <sheet name="Flow cytometry" sheetId="3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7" l="1"/>
  <c r="F13" i="27" s="1"/>
  <c r="D12" i="27"/>
  <c r="F12" i="27" s="1"/>
  <c r="D11" i="27"/>
  <c r="F11" i="27" s="1"/>
  <c r="D10" i="27" l="1"/>
  <c r="F10" i="27" s="1"/>
  <c r="D9" i="27"/>
  <c r="F9" i="27" s="1"/>
  <c r="D8" i="27"/>
  <c r="F8" i="27" s="1"/>
  <c r="D7" i="27"/>
  <c r="F7" i="27" s="1"/>
  <c r="D6" i="27"/>
  <c r="F6" i="27" s="1"/>
  <c r="D5" i="27"/>
  <c r="F5" i="27" s="1"/>
  <c r="D4" i="27"/>
  <c r="F4" i="27" s="1"/>
  <c r="D3" i="27"/>
  <c r="F3" i="27" s="1"/>
  <c r="D2" i="27"/>
  <c r="F2" i="27" s="1"/>
  <c r="D7" i="25"/>
  <c r="F7" i="25" s="1"/>
  <c r="D6" i="25"/>
  <c r="F6" i="25" s="1"/>
  <c r="D5" i="25"/>
  <c r="F5" i="25" s="1"/>
  <c r="D4" i="25"/>
  <c r="F4" i="25" s="1"/>
  <c r="D3" i="25"/>
  <c r="F3" i="25" s="1"/>
  <c r="D2" i="25"/>
  <c r="F2" i="25" s="1"/>
  <c r="B33" i="23"/>
  <c r="B23" i="23"/>
  <c r="B14" i="23"/>
  <c r="B5" i="23"/>
  <c r="G2" i="27" l="1"/>
  <c r="G3" i="27" s="1"/>
  <c r="G4" i="27" s="1"/>
  <c r="G5" i="27" s="1"/>
  <c r="G6" i="27" s="1"/>
  <c r="G7" i="27" s="1"/>
  <c r="G8" i="27" s="1"/>
  <c r="G9" i="27" s="1"/>
  <c r="G10" i="27" s="1"/>
  <c r="G2" i="25"/>
  <c r="G3" i="25" s="1"/>
  <c r="G4" i="25" s="1"/>
  <c r="G5" i="25" s="1"/>
  <c r="G6" i="25" s="1"/>
  <c r="G7" i="25" s="1"/>
  <c r="C34" i="23"/>
  <c r="C42" i="23" s="1"/>
  <c r="D34" i="23"/>
  <c r="F42" i="23" s="1"/>
  <c r="D24" i="23"/>
  <c r="F41" i="23" s="1"/>
  <c r="C24" i="23"/>
  <c r="C41" i="23" s="1"/>
  <c r="C15" i="23"/>
  <c r="C40" i="23" s="1"/>
  <c r="D15" i="23"/>
  <c r="F40" i="23" s="1"/>
  <c r="C16" i="23"/>
  <c r="D40" i="23" s="1"/>
  <c r="D6" i="23"/>
  <c r="F39" i="23" s="1"/>
  <c r="C7" i="23"/>
  <c r="D39" i="23" s="1"/>
  <c r="C6" i="23"/>
  <c r="C39" i="23" s="1"/>
  <c r="D7" i="23"/>
  <c r="G39" i="23" s="1"/>
  <c r="C35" i="23"/>
  <c r="D42" i="23" s="1"/>
  <c r="D25" i="23"/>
  <c r="G41" i="23" s="1"/>
  <c r="C8" i="23"/>
  <c r="E39" i="23" s="1"/>
  <c r="D35" i="23"/>
  <c r="G42" i="23" s="1"/>
  <c r="D16" i="23"/>
  <c r="G40" i="23" s="1"/>
  <c r="C25" i="23"/>
  <c r="D41" i="23" s="1"/>
  <c r="D8" i="23"/>
  <c r="H39" i="23" s="1"/>
  <c r="C17" i="23"/>
  <c r="E40" i="23" s="1"/>
  <c r="D17" i="23"/>
  <c r="H40" i="23" s="1"/>
  <c r="C26" i="23"/>
  <c r="E41" i="23" s="1"/>
  <c r="D26" i="23"/>
  <c r="H41" i="23" s="1"/>
  <c r="C36" i="23"/>
  <c r="E42" i="23" s="1"/>
  <c r="D36" i="23"/>
  <c r="H42" i="23" s="1"/>
  <c r="H10" i="27" l="1"/>
  <c r="I10" i="27" s="1"/>
  <c r="G11" i="27"/>
  <c r="H2" i="27"/>
  <c r="I2" i="27" s="1"/>
  <c r="H8" i="27"/>
  <c r="I8" i="27" s="1"/>
  <c r="H6" i="27"/>
  <c r="I6" i="27" s="1"/>
  <c r="H4" i="27"/>
  <c r="I4" i="27" s="1"/>
  <c r="H9" i="27"/>
  <c r="I9" i="27" s="1"/>
  <c r="H7" i="27"/>
  <c r="I7" i="27" s="1"/>
  <c r="H3" i="27"/>
  <c r="I3" i="27" s="1"/>
  <c r="H5" i="27"/>
  <c r="I5" i="27" s="1"/>
  <c r="H7" i="25"/>
  <c r="I7" i="25" s="1"/>
  <c r="H5" i="25"/>
  <c r="I5" i="25" s="1"/>
  <c r="H6" i="25"/>
  <c r="I6" i="25" s="1"/>
  <c r="H2" i="25"/>
  <c r="I2" i="25" s="1"/>
  <c r="H4" i="25"/>
  <c r="I4" i="25" s="1"/>
  <c r="H3" i="25"/>
  <c r="I3" i="25" s="1"/>
  <c r="H4" i="4"/>
  <c r="H3" i="4"/>
  <c r="J2" i="4"/>
  <c r="H6" i="4" s="1"/>
  <c r="I6" i="4" s="1"/>
  <c r="H2" i="4"/>
  <c r="C2" i="4"/>
  <c r="C5" i="4" s="1"/>
  <c r="D5" i="4" s="1"/>
  <c r="G12" i="27" l="1"/>
  <c r="H11" i="27"/>
  <c r="I11" i="27" s="1"/>
  <c r="H7" i="4"/>
  <c r="I7" i="4" s="1"/>
  <c r="C6" i="4"/>
  <c r="D6" i="4" s="1"/>
  <c r="H5" i="4"/>
  <c r="I5" i="4" s="1"/>
  <c r="C7" i="4"/>
  <c r="D7" i="4" s="1"/>
  <c r="G13" i="27" l="1"/>
  <c r="H13" i="27" s="1"/>
  <c r="I13" i="27" s="1"/>
  <c r="H12" i="27"/>
  <c r="I12" i="27" s="1"/>
</calcChain>
</file>

<file path=xl/sharedStrings.xml><?xml version="1.0" encoding="utf-8"?>
<sst xmlns="http://schemas.openxmlformats.org/spreadsheetml/2006/main" count="268" uniqueCount="73">
  <si>
    <t>Invasion</t>
    <phoneticPr fontId="1" type="noConversion"/>
  </si>
  <si>
    <t>blank area</t>
    <phoneticPr fontId="1" type="noConversion"/>
  </si>
  <si>
    <t>Migration rate%</t>
    <phoneticPr fontId="1" type="noConversion"/>
  </si>
  <si>
    <t>A</t>
  </si>
  <si>
    <t>B</t>
  </si>
  <si>
    <t>C</t>
  </si>
  <si>
    <t>D</t>
  </si>
  <si>
    <t>E</t>
  </si>
  <si>
    <t>F</t>
  </si>
  <si>
    <t>G</t>
  </si>
  <si>
    <t>H</t>
  </si>
  <si>
    <t>Blank</t>
    <phoneticPr fontId="6" type="noConversion"/>
  </si>
  <si>
    <t>0h</t>
    <phoneticPr fontId="1" type="noConversion"/>
  </si>
  <si>
    <t>24h</t>
    <phoneticPr fontId="1" type="noConversion"/>
  </si>
  <si>
    <t>48h</t>
    <phoneticPr fontId="1" type="noConversion"/>
  </si>
  <si>
    <t>72h</t>
    <phoneticPr fontId="1" type="noConversion"/>
  </si>
  <si>
    <t>OD450</t>
    <phoneticPr fontId="1" type="noConversion"/>
  </si>
  <si>
    <t>48h</t>
  </si>
  <si>
    <t>72h</t>
  </si>
  <si>
    <t>Whitespace removal</t>
    <phoneticPr fontId="1" type="noConversion"/>
  </si>
  <si>
    <t>Control</t>
  </si>
  <si>
    <t>Control</t>
    <phoneticPr fontId="1" type="noConversion"/>
  </si>
  <si>
    <t xml:space="preserve">Cq   </t>
  </si>
  <si>
    <t>Cq Mean</t>
  </si>
  <si>
    <t>target gene</t>
  </si>
  <si>
    <t>expression</t>
  </si>
  <si>
    <t>GAPDH</t>
  </si>
  <si>
    <t>Hole</t>
    <phoneticPr fontId="1" type="noConversion"/>
  </si>
  <si>
    <t>Channel</t>
    <phoneticPr fontId="1" type="noConversion"/>
  </si>
  <si>
    <t>CT</t>
    <phoneticPr fontId="1" type="noConversion"/>
  </si>
  <si>
    <t>TM</t>
    <phoneticPr fontId="1" type="noConversion"/>
  </si>
  <si>
    <t>Target gene</t>
    <phoneticPr fontId="1" type="noConversion"/>
  </si>
  <si>
    <t>Sample name</t>
  </si>
  <si>
    <t>A01</t>
  </si>
  <si>
    <t>FAM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</si>
  <si>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</si>
  <si>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</si>
  <si>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</si>
  <si>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</si>
  <si>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</si>
  <si>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</si>
  <si>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</si>
  <si>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</si>
  <si>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</si>
  <si>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</si>
  <si>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</si>
  <si>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</si>
  <si>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</si>
  <si>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</si>
  <si>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</si>
  <si>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</si>
  <si>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</si>
  <si>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HTR-8/Svneo</t>
  </si>
  <si>
    <t>HTR-8/Svneo</t>
    <phoneticPr fontId="1" type="noConversion"/>
  </si>
  <si>
    <t>CPT1A</t>
  </si>
  <si>
    <t>CPT1A</t>
    <phoneticPr fontId="1" type="noConversion"/>
  </si>
  <si>
    <t>H/R</t>
    <phoneticPr fontId="1" type="noConversion"/>
  </si>
  <si>
    <t>si-NC</t>
  </si>
  <si>
    <t>si-CPT1A#1</t>
  </si>
  <si>
    <t>si-CPT1A#2</t>
  </si>
  <si>
    <t>B07</t>
  </si>
  <si>
    <t>B08</t>
  </si>
  <si>
    <t>B09</t>
  </si>
  <si>
    <t>B10</t>
  </si>
  <si>
    <t>B11</t>
  </si>
  <si>
    <t>B12</t>
  </si>
  <si>
    <t>H/R+si-NC</t>
  </si>
  <si>
    <t>H/R+si-CPT1A#2</t>
  </si>
  <si>
    <t>si-CPT1A#1</t>
    <phoneticPr fontId="1" type="noConversion"/>
  </si>
  <si>
    <t>H/R-HTR-8/Svneo</t>
    <phoneticPr fontId="1" type="noConversion"/>
  </si>
  <si>
    <t>si-NC</t>
    <phoneticPr fontId="1" type="noConversion"/>
  </si>
  <si>
    <t>si-CPT1A#2</t>
    <phoneticPr fontId="1" type="noConversion"/>
  </si>
  <si>
    <t>si-NC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</si>
</sst>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_ "/>
    <numFmt numFmtId="178" formatCode="###0.00;\-###0.00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</font>
    <font>
      <b/>
      <sz val="10"/>
      <name val="Arial"/>
      <family val="2"/>
    </font>
    <font>
      <b/>
      <sz val="8.25"/>
      <name val="Microsoft Sans Serif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/>
    <xf numFmtId="0" fontId="4" fillId="0" borderId="0">
      <alignment vertical="center"/>
    </xf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9" fontId="0" fillId="0" borderId="0" xfId="1" applyFont="1" applyAlignment="1"/>
    <xf numFmtId="0" fontId="5" fillId="0" borderId="0" xfId="2" applyFont="1">
      <alignment vertical="center"/>
    </xf>
    <xf numFmtId="0" fontId="5" fillId="0" borderId="0" xfId="3" applyFont="1"/>
    <xf numFmtId="0" fontId="5" fillId="0" borderId="0" xfId="3" applyFont="1" applyAlignment="1">
      <alignment horizontal="center"/>
    </xf>
    <xf numFmtId="0" fontId="7" fillId="0" borderId="0" xfId="3" applyFont="1"/>
    <xf numFmtId="176" fontId="5" fillId="0" borderId="0" xfId="3" applyNumberFormat="1" applyFont="1"/>
    <xf numFmtId="176" fontId="9" fillId="0" borderId="0" xfId="3" applyNumberFormat="1" applyFont="1"/>
    <xf numFmtId="9" fontId="8" fillId="0" borderId="0" xfId="1" applyFont="1" applyAlignment="1"/>
    <xf numFmtId="0" fontId="10" fillId="0" borderId="0" xfId="0" applyFont="1"/>
    <xf numFmtId="0" fontId="9" fillId="0" borderId="0" xfId="3" applyFont="1"/>
    <xf numFmtId="0" fontId="4" fillId="0" borderId="0" xfId="0" applyFont="1" applyAlignment="1">
      <alignment vertical="center"/>
    </xf>
    <xf numFmtId="0" fontId="5" fillId="2" borderId="0" xfId="2" applyFont="1" applyFill="1" applyAlignment="1">
      <alignment horizontal="right" vertical="center"/>
    </xf>
    <xf numFmtId="0" fontId="5" fillId="3" borderId="0" xfId="2" applyFont="1" applyFill="1" applyAlignment="1">
      <alignment horizontal="right" vertical="center"/>
    </xf>
    <xf numFmtId="0" fontId="5" fillId="4" borderId="0" xfId="2" applyFont="1" applyFill="1" applyAlignment="1">
      <alignment horizontal="right" vertical="center"/>
    </xf>
    <xf numFmtId="0" fontId="5" fillId="5" borderId="0" xfId="2" applyFont="1" applyFill="1" applyAlignment="1">
      <alignment horizontal="right" vertical="center"/>
    </xf>
    <xf numFmtId="177" fontId="0" fillId="0" borderId="0" xfId="0" applyNumberFormat="1"/>
    <xf numFmtId="0" fontId="0" fillId="0" borderId="0" xfId="0" applyAlignment="1">
      <alignment vertical="center"/>
    </xf>
    <xf numFmtId="0" fontId="8" fillId="0" borderId="0" xfId="0" applyFont="1"/>
    <xf numFmtId="178" fontId="11" fillId="0" borderId="0" xfId="0" applyNumberFormat="1" applyFont="1" applyAlignment="1">
      <alignment horizontal="center" vertical="center"/>
    </xf>
    <xf numFmtId="0" fontId="12" fillId="0" borderId="0" xfId="0" applyFont="1"/>
    <xf numFmtId="0" fontId="4" fillId="0" borderId="0" xfId="4">
      <alignment vertical="center"/>
    </xf>
    <xf numFmtId="0" fontId="0" fillId="0" borderId="0" xfId="0" applyAlignment="1">
      <alignment horizontal="center" vertical="center"/>
    </xf>
    <xf numFmtId="0" fontId="5" fillId="0" borderId="0" xfId="3" applyFont="1" applyAlignment="1">
      <alignment horizontal="center"/>
    </xf>
    <xf numFmtId="0" fontId="5" fillId="0" borderId="0" xfId="2" applyFont="1" applyAlignment="1">
      <alignment horizontal="center" vertical="center"/>
    </xf>
  </cellXfs>
  <cellStyles count="5">
    <cellStyle name="Normal 2" xfId="4" xr:uid="{3DAFE632-AB19-4591-879E-D089CE247892}"/>
    <cellStyle name="百分比" xfId="1" builtinId="5"/>
    <cellStyle name="常规" xfId="0" builtinId="0"/>
    <cellStyle name="常规 2" xfId="2" xr:uid="{17429E47-C733-427F-A13B-F9927498ACAA}"/>
    <cellStyle name="常规 2 2" xfId="3" xr:uid="{77206542-0E71-4D58-8786-F0160FA63B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BA4C-FD36-4D44-A340-1AD86E7CDE3D}">
  <sheetPr codeName="Sheet1"/>
  <dimension ref="A1:P10"/>
  <sheetViews>
    <sheetView tabSelected="1" topLeftCell="B1" workbookViewId="0">
      <selection activeCell="F23" sqref="F23"/>
    </sheetView>
  </sheetViews>
  <sheetFormatPr defaultRowHeight="14" x14ac:dyDescent="0.3"/>
  <cols>
    <col min="1" max="1" width="11.75" bestFit="1" customWidth="1"/>
    <col min="9" max="9" width="12.83203125" style="20" customWidth="1"/>
  </cols>
  <sheetData>
    <row r="1" spans="1:16" s="19" customFormat="1" x14ac:dyDescent="0.3">
      <c r="A1" t="s">
        <v>53</v>
      </c>
      <c r="B1"/>
      <c r="C1" s="18" t="s">
        <v>22</v>
      </c>
      <c r="D1" s="18" t="s">
        <v>23</v>
      </c>
      <c r="E1" s="19" t="s">
        <v>24</v>
      </c>
      <c r="F1"/>
      <c r="G1"/>
      <c r="H1"/>
      <c r="I1" s="20" t="s">
        <v>25</v>
      </c>
      <c r="L1" s="21"/>
      <c r="M1" s="21"/>
      <c r="N1" s="21"/>
      <c r="O1" s="21"/>
      <c r="P1" s="21"/>
    </row>
    <row r="2" spans="1:16" s="19" customFormat="1" x14ac:dyDescent="0.3">
      <c r="A2" t="s">
        <v>20</v>
      </c>
      <c r="B2" t="s">
        <v>26</v>
      </c>
      <c r="C2" s="19">
        <v>15.68</v>
      </c>
      <c r="D2" s="18">
        <f>AVERAGE(C2:C4)</f>
        <v>15.573333333333332</v>
      </c>
      <c r="E2" s="19">
        <v>26.68</v>
      </c>
      <c r="F2" s="18">
        <f>E2-D2</f>
        <v>11.106666666666667</v>
      </c>
      <c r="G2" s="18">
        <f>AVERAGE(F2:F4)</f>
        <v>11.020000000000001</v>
      </c>
      <c r="H2" s="18">
        <f>F2-G2</f>
        <v>8.6666666666666003E-2</v>
      </c>
      <c r="I2" s="20">
        <f>POWER(2,-H2)</f>
        <v>0.94169601738734743</v>
      </c>
      <c r="J2" s="24" t="s">
        <v>55</v>
      </c>
      <c r="N2" s="21"/>
      <c r="O2" s="21"/>
      <c r="P2" s="21"/>
    </row>
    <row r="3" spans="1:16" s="19" customFormat="1" x14ac:dyDescent="0.3">
      <c r="A3" t="s">
        <v>20</v>
      </c>
      <c r="B3" t="s">
        <v>26</v>
      </c>
      <c r="C3" s="19">
        <v>15.58</v>
      </c>
      <c r="D3" s="18">
        <f>AVERAGE(C2:C4)</f>
        <v>15.573333333333332</v>
      </c>
      <c r="E3" s="19">
        <v>26.51</v>
      </c>
      <c r="F3" s="18">
        <f t="shared" ref="F3:F7" si="0">E3-D3</f>
        <v>10.936666666666669</v>
      </c>
      <c r="G3" s="18">
        <f>G2</f>
        <v>11.020000000000001</v>
      </c>
      <c r="H3" s="18">
        <f t="shared" ref="H3:H7" si="1">F3-G3</f>
        <v>-8.3333333333332149E-2</v>
      </c>
      <c r="I3" s="20">
        <f t="shared" ref="I3:I7" si="2">POWER(2,-H3)</f>
        <v>1.0594630943592944</v>
      </c>
      <c r="J3" s="24"/>
      <c r="N3" s="21"/>
      <c r="O3" s="21"/>
      <c r="P3" s="21"/>
    </row>
    <row r="4" spans="1:16" s="19" customFormat="1" x14ac:dyDescent="0.3">
      <c r="A4" t="s">
        <v>20</v>
      </c>
      <c r="B4" t="s">
        <v>26</v>
      </c>
      <c r="C4" s="19">
        <v>15.46</v>
      </c>
      <c r="D4" s="18">
        <f>AVERAGE(C2:C4)</f>
        <v>15.573333333333332</v>
      </c>
      <c r="E4" s="19">
        <v>26.59</v>
      </c>
      <c r="F4" s="18">
        <f t="shared" si="0"/>
        <v>11.016666666666667</v>
      </c>
      <c r="G4" s="18">
        <f t="shared" ref="G4:G7" si="3">G3</f>
        <v>11.020000000000001</v>
      </c>
      <c r="H4" s="18">
        <f t="shared" si="1"/>
        <v>-3.3333333333338544E-3</v>
      </c>
      <c r="I4" s="20">
        <f t="shared" si="2"/>
        <v>1.0023131618421732</v>
      </c>
      <c r="J4" s="24"/>
      <c r="N4" s="21"/>
      <c r="O4" s="21"/>
      <c r="P4" s="21"/>
    </row>
    <row r="5" spans="1:16" s="19" customFormat="1" ht="15.5" x14ac:dyDescent="0.3">
      <c r="A5" s="2" t="s">
        <v>56</v>
      </c>
      <c r="B5" t="s">
        <v>26</v>
      </c>
      <c r="C5" s="19">
        <v>15.65</v>
      </c>
      <c r="D5" s="18">
        <f>AVERAGE(C5:C7)</f>
        <v>15.530000000000001</v>
      </c>
      <c r="E5" s="19">
        <v>24.08</v>
      </c>
      <c r="F5" s="18">
        <f t="shared" si="0"/>
        <v>8.5499999999999972</v>
      </c>
      <c r="G5" s="18">
        <f t="shared" si="3"/>
        <v>11.020000000000001</v>
      </c>
      <c r="H5" s="18">
        <f t="shared" si="1"/>
        <v>-2.4700000000000042</v>
      </c>
      <c r="I5" s="20">
        <f t="shared" si="2"/>
        <v>5.5404378724437144</v>
      </c>
      <c r="J5" s="24"/>
      <c r="L5" s="21"/>
      <c r="M5" s="21"/>
      <c r="N5" s="21"/>
      <c r="O5" s="21"/>
      <c r="P5" s="21"/>
    </row>
    <row r="6" spans="1:16" s="19" customFormat="1" ht="15.5" x14ac:dyDescent="0.3">
      <c r="A6" s="2" t="s">
        <v>56</v>
      </c>
      <c r="B6" t="s">
        <v>26</v>
      </c>
      <c r="C6" s="19">
        <v>15.42</v>
      </c>
      <c r="D6" s="18">
        <f>AVERAGE(C5:C7)</f>
        <v>15.530000000000001</v>
      </c>
      <c r="E6" s="19">
        <v>24.06</v>
      </c>
      <c r="F6" s="18">
        <f t="shared" si="0"/>
        <v>8.5299999999999976</v>
      </c>
      <c r="G6" s="18">
        <f t="shared" si="3"/>
        <v>11.020000000000001</v>
      </c>
      <c r="H6" s="18">
        <f t="shared" si="1"/>
        <v>-2.4900000000000038</v>
      </c>
      <c r="I6" s="20">
        <f t="shared" si="2"/>
        <v>5.6177795029520032</v>
      </c>
      <c r="J6" s="24"/>
      <c r="L6" s="21"/>
      <c r="M6" s="21"/>
      <c r="N6" s="21"/>
      <c r="O6" s="21"/>
      <c r="P6" s="21"/>
    </row>
    <row r="7" spans="1:16" s="19" customFormat="1" ht="15.5" x14ac:dyDescent="0.3">
      <c r="A7" s="2" t="s">
        <v>56</v>
      </c>
      <c r="B7" t="s">
        <v>26</v>
      </c>
      <c r="C7" s="19">
        <v>15.52</v>
      </c>
      <c r="D7" s="18">
        <f>AVERAGE(C5:C7)</f>
        <v>15.530000000000001</v>
      </c>
      <c r="E7" s="19">
        <v>24</v>
      </c>
      <c r="F7" s="18">
        <f t="shared" si="0"/>
        <v>8.4699999999999989</v>
      </c>
      <c r="G7" s="18">
        <f t="shared" si="3"/>
        <v>11.020000000000001</v>
      </c>
      <c r="H7" s="18">
        <f t="shared" si="1"/>
        <v>-2.5500000000000025</v>
      </c>
      <c r="I7" s="20">
        <f t="shared" si="2"/>
        <v>5.8563427837825106</v>
      </c>
      <c r="J7" s="24"/>
      <c r="L7" s="21"/>
      <c r="M7" s="21"/>
      <c r="N7" s="21"/>
      <c r="O7" s="21"/>
    </row>
    <row r="8" spans="1:16" s="19" customFormat="1" x14ac:dyDescent="0.3">
      <c r="A8"/>
      <c r="B8"/>
      <c r="D8" s="18"/>
      <c r="F8" s="18"/>
      <c r="G8" s="18"/>
      <c r="H8" s="18"/>
      <c r="I8" s="20"/>
      <c r="M8" s="21"/>
      <c r="N8" s="21"/>
      <c r="O8" s="21"/>
    </row>
    <row r="9" spans="1:16" s="19" customFormat="1" x14ac:dyDescent="0.3">
      <c r="A9"/>
      <c r="B9"/>
      <c r="D9" s="18"/>
      <c r="F9" s="18"/>
      <c r="G9" s="18"/>
      <c r="H9" s="18"/>
      <c r="I9" s="20"/>
      <c r="M9" s="21"/>
      <c r="N9" s="21"/>
      <c r="O9" s="21"/>
    </row>
    <row r="10" spans="1:16" s="19" customFormat="1" x14ac:dyDescent="0.3">
      <c r="A10"/>
      <c r="B10"/>
      <c r="D10" s="18"/>
      <c r="F10" s="18"/>
      <c r="G10" s="18"/>
      <c r="H10" s="18"/>
      <c r="I10" s="20"/>
      <c r="M10" s="21"/>
      <c r="N10" s="21"/>
      <c r="O10" s="21"/>
    </row>
  </sheetData>
  <mergeCells count="1">
    <mergeCell ref="J2:J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8450-8B5D-44FA-AF0B-D3D6BAFCB46D}">
  <sheetPr codeName="Sheet2"/>
  <dimension ref="A1:F13"/>
  <sheetViews>
    <sheetView workbookViewId="0">
      <selection activeCell="E26" sqref="E26"/>
    </sheetView>
  </sheetViews>
  <sheetFormatPr defaultRowHeight="14" x14ac:dyDescent="0.3"/>
  <sheetData>
    <row r="1" spans="1:6" s="19" customFormat="1" x14ac:dyDescent="0.3">
      <c r="A1" s="19" t="s">
        <v>27</v>
      </c>
      <c r="B1" s="19" t="s">
        <v>28</v>
      </c>
      <c r="C1" s="19" t="s">
        <v>29</v>
      </c>
      <c r="D1" s="19" t="s">
        <v>30</v>
      </c>
      <c r="E1" s="19" t="s">
        <v>31</v>
      </c>
      <c r="F1" s="19" t="s">
        <v>32</v>
      </c>
    </row>
    <row r="2" spans="1:6" s="19" customFormat="1" x14ac:dyDescent="0.3">
      <c r="A2" s="19" t="s">
        <v>33</v>
      </c>
      <c r="B2" s="19" t="s">
        <v>34</v>
      </c>
      <c r="C2" s="19">
        <v>26.68</v>
      </c>
      <c r="D2" s="19">
        <v>82</v>
      </c>
      <c r="E2" s="19" t="s">
        <v>54</v>
      </c>
      <c r="F2" t="s">
        <v>20</v>
      </c>
    </row>
    <row r="3" spans="1:6" s="19" customFormat="1" x14ac:dyDescent="0.3">
      <c r="A3" s="19" t="s">
        <v>35</v>
      </c>
      <c r="B3" s="19" t="s">
        <v>34</v>
      </c>
      <c r="C3" s="19">
        <v>26.51</v>
      </c>
      <c r="D3" s="19">
        <v>82</v>
      </c>
      <c r="E3" s="19" t="s">
        <v>54</v>
      </c>
      <c r="F3" t="s">
        <v>20</v>
      </c>
    </row>
    <row r="4" spans="1:6" s="19" customFormat="1" x14ac:dyDescent="0.3">
      <c r="A4" s="19" t="s">
        <v>36</v>
      </c>
      <c r="B4" s="19" t="s">
        <v>34</v>
      </c>
      <c r="C4" s="19">
        <v>26.59</v>
      </c>
      <c r="D4" s="19">
        <v>82</v>
      </c>
      <c r="E4" s="19" t="s">
        <v>54</v>
      </c>
      <c r="F4" t="s">
        <v>20</v>
      </c>
    </row>
    <row r="5" spans="1:6" s="19" customFormat="1" ht="15.5" x14ac:dyDescent="0.3">
      <c r="A5" s="19" t="s">
        <v>37</v>
      </c>
      <c r="B5" s="19" t="s">
        <v>34</v>
      </c>
      <c r="C5" s="19">
        <v>24.08</v>
      </c>
      <c r="D5" s="19">
        <v>82</v>
      </c>
      <c r="E5" s="19" t="s">
        <v>54</v>
      </c>
      <c r="F5" s="2" t="s">
        <v>56</v>
      </c>
    </row>
    <row r="6" spans="1:6" s="19" customFormat="1" ht="15.5" x14ac:dyDescent="0.3">
      <c r="A6" s="19" t="s">
        <v>38</v>
      </c>
      <c r="B6" s="19" t="s">
        <v>34</v>
      </c>
      <c r="C6" s="19">
        <v>24.06</v>
      </c>
      <c r="D6" s="19">
        <v>82</v>
      </c>
      <c r="E6" s="19" t="s">
        <v>54</v>
      </c>
      <c r="F6" s="2" t="s">
        <v>56</v>
      </c>
    </row>
    <row r="7" spans="1:6" s="19" customFormat="1" ht="15.5" x14ac:dyDescent="0.3">
      <c r="A7" s="19" t="s">
        <v>39</v>
      </c>
      <c r="B7" s="19" t="s">
        <v>34</v>
      </c>
      <c r="C7" s="19">
        <v>24</v>
      </c>
      <c r="D7" s="19">
        <v>82</v>
      </c>
      <c r="E7" s="19" t="s">
        <v>54</v>
      </c>
      <c r="F7" s="2" t="s">
        <v>56</v>
      </c>
    </row>
    <row r="8" spans="1:6" s="19" customFormat="1" x14ac:dyDescent="0.3">
      <c r="A8" s="19" t="s">
        <v>40</v>
      </c>
      <c r="B8" s="19" t="s">
        <v>34</v>
      </c>
      <c r="C8" s="19">
        <v>15.68</v>
      </c>
      <c r="D8" s="19">
        <v>86</v>
      </c>
      <c r="E8" t="s">
        <v>26</v>
      </c>
      <c r="F8" t="s">
        <v>20</v>
      </c>
    </row>
    <row r="9" spans="1:6" s="19" customFormat="1" x14ac:dyDescent="0.3">
      <c r="A9" s="19" t="s">
        <v>41</v>
      </c>
      <c r="B9" s="19" t="s">
        <v>34</v>
      </c>
      <c r="C9" s="19">
        <v>15.58</v>
      </c>
      <c r="D9" s="19">
        <v>85.5</v>
      </c>
      <c r="E9" t="s">
        <v>26</v>
      </c>
      <c r="F9" t="s">
        <v>20</v>
      </c>
    </row>
    <row r="10" spans="1:6" s="19" customFormat="1" x14ac:dyDescent="0.3">
      <c r="A10" s="19" t="s">
        <v>42</v>
      </c>
      <c r="B10" s="19" t="s">
        <v>34</v>
      </c>
      <c r="C10" s="19">
        <v>15.46</v>
      </c>
      <c r="D10" s="19">
        <v>86</v>
      </c>
      <c r="E10" t="s">
        <v>26</v>
      </c>
      <c r="F10" t="s">
        <v>20</v>
      </c>
    </row>
    <row r="11" spans="1:6" s="19" customFormat="1" ht="15.5" x14ac:dyDescent="0.3">
      <c r="A11" s="19" t="s">
        <v>43</v>
      </c>
      <c r="B11" s="19" t="s">
        <v>34</v>
      </c>
      <c r="C11" s="19">
        <v>15.65</v>
      </c>
      <c r="D11" s="19">
        <v>86</v>
      </c>
      <c r="E11" t="s">
        <v>26</v>
      </c>
      <c r="F11" s="2" t="s">
        <v>56</v>
      </c>
    </row>
    <row r="12" spans="1:6" s="19" customFormat="1" ht="15.5" x14ac:dyDescent="0.3">
      <c r="A12" s="19" t="s">
        <v>44</v>
      </c>
      <c r="B12" s="19" t="s">
        <v>34</v>
      </c>
      <c r="C12" s="19">
        <v>15.42</v>
      </c>
      <c r="D12" s="19">
        <v>86</v>
      </c>
      <c r="E12" t="s">
        <v>26</v>
      </c>
      <c r="F12" s="2" t="s">
        <v>56</v>
      </c>
    </row>
    <row r="13" spans="1:6" s="19" customFormat="1" ht="15.5" x14ac:dyDescent="0.3">
      <c r="A13" s="19" t="s">
        <v>45</v>
      </c>
      <c r="B13" s="19" t="s">
        <v>34</v>
      </c>
      <c r="C13" s="19">
        <v>15.52</v>
      </c>
      <c r="D13" s="19">
        <v>86</v>
      </c>
      <c r="E13" t="s">
        <v>26</v>
      </c>
      <c r="F13" s="2" t="s">
        <v>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7408-A5E7-4EFF-B8BB-12EA9DD530EC}">
  <sheetPr codeName="Sheet3"/>
  <dimension ref="A1:P13"/>
  <sheetViews>
    <sheetView workbookViewId="0">
      <selection activeCell="F32" sqref="F32"/>
    </sheetView>
  </sheetViews>
  <sheetFormatPr defaultRowHeight="14" x14ac:dyDescent="0.3"/>
  <cols>
    <col min="1" max="1" width="11.75" bestFit="1" customWidth="1"/>
    <col min="9" max="9" width="12.83203125" style="20" customWidth="1"/>
  </cols>
  <sheetData>
    <row r="1" spans="1:16" s="19" customFormat="1" x14ac:dyDescent="0.3">
      <c r="A1" t="s">
        <v>53</v>
      </c>
      <c r="B1"/>
      <c r="C1" s="18" t="s">
        <v>22</v>
      </c>
      <c r="D1" s="18" t="s">
        <v>23</v>
      </c>
      <c r="E1" s="19" t="s">
        <v>24</v>
      </c>
      <c r="F1"/>
      <c r="G1"/>
      <c r="H1"/>
      <c r="I1" s="20" t="s">
        <v>25</v>
      </c>
      <c r="L1" s="21"/>
      <c r="M1" s="21"/>
      <c r="N1" s="21"/>
      <c r="O1" s="21"/>
      <c r="P1" s="21"/>
    </row>
    <row r="2" spans="1:16" s="19" customFormat="1" x14ac:dyDescent="0.3">
      <c r="A2" t="s">
        <v>21</v>
      </c>
      <c r="B2" t="s">
        <v>26</v>
      </c>
      <c r="C2" s="19">
        <v>17.66</v>
      </c>
      <c r="D2" s="18">
        <f>AVERAGE(C2:C4)</f>
        <v>17.733333333333331</v>
      </c>
      <c r="E2" s="19">
        <v>26.6</v>
      </c>
      <c r="F2" s="18">
        <f>E2-D2</f>
        <v>8.8666666666666707</v>
      </c>
      <c r="G2" s="18">
        <f>AVERAGE(F2:F4)</f>
        <v>8.7533333333333356</v>
      </c>
      <c r="H2" s="18">
        <f>F2-G2</f>
        <v>0.11333333333333506</v>
      </c>
      <c r="I2" s="20">
        <f>POWER(2,-H2)</f>
        <v>0.9244496602113591</v>
      </c>
      <c r="J2" s="24" t="s">
        <v>55</v>
      </c>
      <c r="N2" s="21"/>
      <c r="O2" s="21"/>
      <c r="P2" s="21"/>
    </row>
    <row r="3" spans="1:16" s="19" customFormat="1" x14ac:dyDescent="0.3">
      <c r="A3" t="s">
        <v>20</v>
      </c>
      <c r="B3" t="s">
        <v>26</v>
      </c>
      <c r="C3" s="19">
        <v>17.829999999999998</v>
      </c>
      <c r="D3" s="18">
        <f>AVERAGE(C2:C4)</f>
        <v>17.733333333333331</v>
      </c>
      <c r="E3" s="19">
        <v>26.41</v>
      </c>
      <c r="F3" s="18">
        <f t="shared" ref="F3:F7" si="0">E3-D3</f>
        <v>8.6766666666666694</v>
      </c>
      <c r="G3" s="18">
        <f>G2</f>
        <v>8.7533333333333356</v>
      </c>
      <c r="H3" s="18">
        <f t="shared" ref="H3:H7" si="1">F3-G3</f>
        <v>-7.6666666666666217E-2</v>
      </c>
      <c r="I3" s="20">
        <f t="shared" ref="I3:I7" si="2">POWER(2,-H3)</f>
        <v>1.0545786295160127</v>
      </c>
      <c r="J3" s="24"/>
      <c r="N3" s="21"/>
      <c r="O3" s="21"/>
      <c r="P3" s="21"/>
    </row>
    <row r="4" spans="1:16" s="19" customFormat="1" x14ac:dyDescent="0.3">
      <c r="A4" t="s">
        <v>20</v>
      </c>
      <c r="B4" t="s">
        <v>26</v>
      </c>
      <c r="C4" s="19">
        <v>17.71</v>
      </c>
      <c r="D4" s="18">
        <f>AVERAGE(C2:C4)</f>
        <v>17.733333333333331</v>
      </c>
      <c r="E4" s="19">
        <v>26.45</v>
      </c>
      <c r="F4" s="18">
        <f t="shared" si="0"/>
        <v>8.7166666666666686</v>
      </c>
      <c r="G4" s="18">
        <f t="shared" ref="G4:G13" si="3">G3</f>
        <v>8.7533333333333356</v>
      </c>
      <c r="H4" s="18">
        <f t="shared" si="1"/>
        <v>-3.6666666666667069E-2</v>
      </c>
      <c r="I4" s="20">
        <f t="shared" si="2"/>
        <v>1.025741121434018</v>
      </c>
      <c r="J4" s="24"/>
      <c r="N4" s="21"/>
      <c r="O4" s="21"/>
      <c r="P4" s="21"/>
    </row>
    <row r="5" spans="1:16" s="19" customFormat="1" x14ac:dyDescent="0.3">
      <c r="A5" t="s">
        <v>57</v>
      </c>
      <c r="B5" t="s">
        <v>26</v>
      </c>
      <c r="C5" s="19">
        <v>17.8</v>
      </c>
      <c r="D5" s="18">
        <f>AVERAGE(C5:C7)</f>
        <v>17.766666666666666</v>
      </c>
      <c r="E5" s="19">
        <v>26.5</v>
      </c>
      <c r="F5" s="18">
        <f t="shared" si="0"/>
        <v>8.7333333333333343</v>
      </c>
      <c r="G5" s="18">
        <f t="shared" si="3"/>
        <v>8.7533333333333356</v>
      </c>
      <c r="H5" s="18">
        <f t="shared" si="1"/>
        <v>-2.000000000000135E-2</v>
      </c>
      <c r="I5" s="20">
        <f t="shared" si="2"/>
        <v>1.01395947979003</v>
      </c>
      <c r="J5" s="24"/>
      <c r="L5" s="21"/>
      <c r="M5" s="21"/>
      <c r="N5" s="21"/>
      <c r="O5" s="21"/>
      <c r="P5" s="21"/>
    </row>
    <row r="6" spans="1:16" s="19" customFormat="1" x14ac:dyDescent="0.3">
      <c r="A6" t="s">
        <v>57</v>
      </c>
      <c r="B6" t="s">
        <v>26</v>
      </c>
      <c r="C6" s="19">
        <v>17.829999999999998</v>
      </c>
      <c r="D6" s="18">
        <f>AVERAGE(C5:C7)</f>
        <v>17.766666666666666</v>
      </c>
      <c r="E6" s="19">
        <v>26.38</v>
      </c>
      <c r="F6" s="18">
        <f t="shared" si="0"/>
        <v>8.6133333333333333</v>
      </c>
      <c r="G6" s="18">
        <f t="shared" si="3"/>
        <v>8.7533333333333356</v>
      </c>
      <c r="H6" s="18">
        <f t="shared" si="1"/>
        <v>-0.14000000000000234</v>
      </c>
      <c r="I6" s="20">
        <f t="shared" si="2"/>
        <v>1.1019051158766124</v>
      </c>
      <c r="J6" s="24"/>
      <c r="L6" s="21"/>
      <c r="M6" s="21"/>
      <c r="N6" s="21"/>
      <c r="O6" s="21"/>
      <c r="P6" s="21"/>
    </row>
    <row r="7" spans="1:16" s="19" customFormat="1" x14ac:dyDescent="0.3">
      <c r="A7" t="s">
        <v>57</v>
      </c>
      <c r="B7" t="s">
        <v>26</v>
      </c>
      <c r="C7" s="19">
        <v>17.670000000000002</v>
      </c>
      <c r="D7" s="18">
        <f>AVERAGE(C5:C7)</f>
        <v>17.766666666666666</v>
      </c>
      <c r="E7" s="19">
        <v>26.33</v>
      </c>
      <c r="F7" s="18">
        <f t="shared" si="0"/>
        <v>8.5633333333333326</v>
      </c>
      <c r="G7" s="18">
        <f t="shared" si="3"/>
        <v>8.7533333333333356</v>
      </c>
      <c r="H7" s="18">
        <f t="shared" si="1"/>
        <v>-0.19000000000000306</v>
      </c>
      <c r="I7" s="20">
        <f t="shared" si="2"/>
        <v>1.1407637158684261</v>
      </c>
      <c r="J7" s="24"/>
      <c r="L7" s="21"/>
      <c r="M7" s="21"/>
      <c r="N7" s="21"/>
      <c r="O7" s="21"/>
    </row>
    <row r="8" spans="1:16" s="19" customFormat="1" x14ac:dyDescent="0.3">
      <c r="A8" t="s">
        <v>68</v>
      </c>
      <c r="B8" t="s">
        <v>26</v>
      </c>
      <c r="C8" s="19">
        <v>17.77</v>
      </c>
      <c r="D8" s="18">
        <f>AVERAGE(C8:C10)</f>
        <v>17.75</v>
      </c>
      <c r="E8" s="19">
        <v>26.75</v>
      </c>
      <c r="F8" s="18">
        <f>E8-D8</f>
        <v>9</v>
      </c>
      <c r="G8" s="18">
        <f>G7</f>
        <v>8.7533333333333356</v>
      </c>
      <c r="H8" s="18">
        <f>F8-G8</f>
        <v>0.24666666666666437</v>
      </c>
      <c r="I8" s="20">
        <f>POWER(2,-H8)</f>
        <v>0.84284154475470074</v>
      </c>
      <c r="J8" s="24"/>
      <c r="M8" s="21"/>
      <c r="N8" s="21"/>
      <c r="O8" s="21"/>
    </row>
    <row r="9" spans="1:16" s="19" customFormat="1" x14ac:dyDescent="0.3">
      <c r="A9" t="s">
        <v>58</v>
      </c>
      <c r="B9" t="s">
        <v>26</v>
      </c>
      <c r="C9" s="19">
        <v>17.78</v>
      </c>
      <c r="D9" s="18">
        <f>AVERAGE(C8:C10)</f>
        <v>17.75</v>
      </c>
      <c r="E9" s="19">
        <v>26.97</v>
      </c>
      <c r="F9" s="18">
        <f t="shared" ref="F9:F10" si="4">E9-D9</f>
        <v>9.2199999999999989</v>
      </c>
      <c r="G9" s="18">
        <f t="shared" si="3"/>
        <v>8.7533333333333356</v>
      </c>
      <c r="H9" s="18">
        <f t="shared" ref="H9:H10" si="5">F9-G9</f>
        <v>0.46666666666666323</v>
      </c>
      <c r="I9" s="20">
        <f t="shared" ref="I9:I10" si="6">POWER(2,-H9)</f>
        <v>0.72363461872019086</v>
      </c>
      <c r="J9" s="24"/>
      <c r="M9" s="21"/>
      <c r="N9" s="21"/>
      <c r="O9" s="21"/>
    </row>
    <row r="10" spans="1:16" s="19" customFormat="1" x14ac:dyDescent="0.3">
      <c r="A10" t="s">
        <v>58</v>
      </c>
      <c r="B10" t="s">
        <v>26</v>
      </c>
      <c r="C10" s="19">
        <v>17.7</v>
      </c>
      <c r="D10" s="18">
        <f>AVERAGE(C8:C10)</f>
        <v>17.75</v>
      </c>
      <c r="E10" s="19">
        <v>26.94</v>
      </c>
      <c r="F10" s="18">
        <f t="shared" si="4"/>
        <v>9.1900000000000013</v>
      </c>
      <c r="G10" s="18">
        <f t="shared" si="3"/>
        <v>8.7533333333333356</v>
      </c>
      <c r="H10" s="18">
        <f t="shared" si="5"/>
        <v>0.43666666666666565</v>
      </c>
      <c r="I10" s="20">
        <f t="shared" si="6"/>
        <v>0.73883972029481515</v>
      </c>
      <c r="J10" s="24"/>
      <c r="M10" s="21"/>
      <c r="N10" s="21"/>
      <c r="O10" s="21"/>
    </row>
    <row r="11" spans="1:16" x14ac:dyDescent="0.3">
      <c r="A11" t="s">
        <v>59</v>
      </c>
      <c r="B11" t="s">
        <v>26</v>
      </c>
      <c r="C11" s="19">
        <v>17.87</v>
      </c>
      <c r="D11" s="18">
        <f>AVERAGE(C11:C13)</f>
        <v>17.746666666666666</v>
      </c>
      <c r="E11" s="19">
        <v>27.15</v>
      </c>
      <c r="F11" s="18">
        <f>E11-D11</f>
        <v>9.4033333333333324</v>
      </c>
      <c r="G11" s="18">
        <f>G10</f>
        <v>8.7533333333333356</v>
      </c>
      <c r="H11" s="18">
        <f>F11-G11</f>
        <v>0.6499999999999968</v>
      </c>
      <c r="I11" s="20">
        <f>POWER(2,-H11)</f>
        <v>0.63728031365963245</v>
      </c>
      <c r="J11" s="24"/>
    </row>
    <row r="12" spans="1:16" x14ac:dyDescent="0.3">
      <c r="A12" t="s">
        <v>59</v>
      </c>
      <c r="B12" t="s">
        <v>26</v>
      </c>
      <c r="C12" s="19">
        <v>17.57</v>
      </c>
      <c r="D12" s="18">
        <f>AVERAGE(C11:C13)</f>
        <v>17.746666666666666</v>
      </c>
      <c r="E12" s="19">
        <v>27.23</v>
      </c>
      <c r="F12" s="18">
        <f t="shared" ref="F12:F13" si="7">E12-D12</f>
        <v>9.4833333333333343</v>
      </c>
      <c r="G12" s="18">
        <f t="shared" si="3"/>
        <v>8.7533333333333356</v>
      </c>
      <c r="H12" s="18">
        <f t="shared" ref="H12:H13" si="8">F12-G12</f>
        <v>0.72999999999999865</v>
      </c>
      <c r="I12" s="20">
        <f t="shared" ref="I12:I13" si="9">POWER(2,-H12)</f>
        <v>0.60290391384538078</v>
      </c>
      <c r="J12" s="24"/>
    </row>
    <row r="13" spans="1:16" x14ac:dyDescent="0.3">
      <c r="A13" t="s">
        <v>59</v>
      </c>
      <c r="B13" t="s">
        <v>26</v>
      </c>
      <c r="C13" s="19">
        <v>17.8</v>
      </c>
      <c r="D13" s="18">
        <f>AVERAGE(C11:C13)</f>
        <v>17.746666666666666</v>
      </c>
      <c r="E13" s="19">
        <v>27.06</v>
      </c>
      <c r="F13" s="18">
        <f t="shared" si="7"/>
        <v>9.3133333333333326</v>
      </c>
      <c r="G13" s="18">
        <f t="shared" si="3"/>
        <v>8.7533333333333356</v>
      </c>
      <c r="H13" s="18">
        <f t="shared" si="8"/>
        <v>0.55999999999999694</v>
      </c>
      <c r="I13" s="20">
        <f t="shared" si="9"/>
        <v>0.67830216372383745</v>
      </c>
      <c r="J13" s="24"/>
    </row>
  </sheetData>
  <mergeCells count="1">
    <mergeCell ref="J2:J1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D17F-AE95-43FD-B53B-07E22954EA74}">
  <sheetPr codeName="Sheet12"/>
  <dimension ref="A1:F25"/>
  <sheetViews>
    <sheetView workbookViewId="0">
      <selection activeCell="E32" sqref="E32"/>
    </sheetView>
  </sheetViews>
  <sheetFormatPr defaultRowHeight="14" x14ac:dyDescent="0.3"/>
  <sheetData>
    <row r="1" spans="1:6" s="19" customFormat="1" x14ac:dyDescent="0.3">
      <c r="A1" s="19" t="s">
        <v>27</v>
      </c>
      <c r="B1" s="19" t="s">
        <v>28</v>
      </c>
      <c r="C1" s="19" t="s">
        <v>29</v>
      </c>
      <c r="D1" s="19" t="s">
        <v>30</v>
      </c>
      <c r="E1" s="19" t="s">
        <v>31</v>
      </c>
      <c r="F1" s="19" t="s">
        <v>32</v>
      </c>
    </row>
    <row r="2" spans="1:6" s="19" customFormat="1" x14ac:dyDescent="0.3">
      <c r="A2" s="19" t="s">
        <v>33</v>
      </c>
      <c r="B2" s="19" t="s">
        <v>34</v>
      </c>
      <c r="C2" s="19">
        <v>26.6</v>
      </c>
      <c r="D2" s="19">
        <v>82</v>
      </c>
      <c r="E2" s="19" t="s">
        <v>54</v>
      </c>
      <c r="F2" t="s">
        <v>21</v>
      </c>
    </row>
    <row r="3" spans="1:6" s="19" customFormat="1" x14ac:dyDescent="0.3">
      <c r="A3" s="19" t="s">
        <v>35</v>
      </c>
      <c r="B3" s="19" t="s">
        <v>34</v>
      </c>
      <c r="C3" s="19">
        <v>26.41</v>
      </c>
      <c r="D3" s="19">
        <v>82</v>
      </c>
      <c r="E3" s="19" t="s">
        <v>54</v>
      </c>
      <c r="F3" t="s">
        <v>20</v>
      </c>
    </row>
    <row r="4" spans="1:6" s="19" customFormat="1" x14ac:dyDescent="0.3">
      <c r="A4" s="19" t="s">
        <v>36</v>
      </c>
      <c r="B4" s="19" t="s">
        <v>34</v>
      </c>
      <c r="C4" s="19">
        <v>26.45</v>
      </c>
      <c r="D4" s="19">
        <v>82</v>
      </c>
      <c r="E4" s="19" t="s">
        <v>54</v>
      </c>
      <c r="F4" t="s">
        <v>20</v>
      </c>
    </row>
    <row r="5" spans="1:6" s="19" customFormat="1" x14ac:dyDescent="0.3">
      <c r="A5" s="19" t="s">
        <v>37</v>
      </c>
      <c r="B5" s="19" t="s">
        <v>34</v>
      </c>
      <c r="C5" s="19">
        <v>26.5</v>
      </c>
      <c r="D5" s="19">
        <v>84.5</v>
      </c>
      <c r="E5" s="19" t="s">
        <v>54</v>
      </c>
      <c r="F5" t="s">
        <v>57</v>
      </c>
    </row>
    <row r="6" spans="1:6" s="19" customFormat="1" x14ac:dyDescent="0.3">
      <c r="A6" s="19" t="s">
        <v>38</v>
      </c>
      <c r="B6" s="19" t="s">
        <v>34</v>
      </c>
      <c r="C6" s="19">
        <v>26.38</v>
      </c>
      <c r="D6" s="19">
        <v>84.5</v>
      </c>
      <c r="E6" s="19" t="s">
        <v>54</v>
      </c>
      <c r="F6" t="s">
        <v>57</v>
      </c>
    </row>
    <row r="7" spans="1:6" s="19" customFormat="1" x14ac:dyDescent="0.3">
      <c r="A7" s="19" t="s">
        <v>39</v>
      </c>
      <c r="B7" s="19" t="s">
        <v>34</v>
      </c>
      <c r="C7" s="19">
        <v>26.33</v>
      </c>
      <c r="D7" s="19">
        <v>84.5</v>
      </c>
      <c r="E7" s="19" t="s">
        <v>54</v>
      </c>
      <c r="F7" t="s">
        <v>57</v>
      </c>
    </row>
    <row r="8" spans="1:6" s="19" customFormat="1" x14ac:dyDescent="0.3">
      <c r="A8" s="19" t="s">
        <v>40</v>
      </c>
      <c r="B8" s="19" t="s">
        <v>34</v>
      </c>
      <c r="C8" s="19">
        <v>26.75</v>
      </c>
      <c r="D8" s="19">
        <v>85.5</v>
      </c>
      <c r="E8" s="19" t="s">
        <v>54</v>
      </c>
      <c r="F8" t="s">
        <v>58</v>
      </c>
    </row>
    <row r="9" spans="1:6" s="19" customFormat="1" x14ac:dyDescent="0.3">
      <c r="A9" s="19" t="s">
        <v>41</v>
      </c>
      <c r="B9" s="19" t="s">
        <v>34</v>
      </c>
      <c r="C9" s="19">
        <v>26.97</v>
      </c>
      <c r="D9" s="19">
        <v>85.5</v>
      </c>
      <c r="E9" s="19" t="s">
        <v>54</v>
      </c>
      <c r="F9" t="s">
        <v>58</v>
      </c>
    </row>
    <row r="10" spans="1:6" s="19" customFormat="1" x14ac:dyDescent="0.3">
      <c r="A10" s="19" t="s">
        <v>42</v>
      </c>
      <c r="B10" s="19" t="s">
        <v>34</v>
      </c>
      <c r="C10" s="19">
        <v>26.94</v>
      </c>
      <c r="D10" s="19">
        <v>85.5</v>
      </c>
      <c r="E10" s="19" t="s">
        <v>54</v>
      </c>
      <c r="F10" t="s">
        <v>58</v>
      </c>
    </row>
    <row r="11" spans="1:6" s="19" customFormat="1" x14ac:dyDescent="0.3">
      <c r="A11" s="19" t="s">
        <v>43</v>
      </c>
      <c r="B11" s="19" t="s">
        <v>34</v>
      </c>
      <c r="C11" s="19">
        <v>27.15</v>
      </c>
      <c r="D11" s="19">
        <v>76</v>
      </c>
      <c r="E11" s="19" t="s">
        <v>54</v>
      </c>
      <c r="F11" t="s">
        <v>59</v>
      </c>
    </row>
    <row r="12" spans="1:6" s="19" customFormat="1" x14ac:dyDescent="0.3">
      <c r="A12" s="19" t="s">
        <v>44</v>
      </c>
      <c r="B12" s="19" t="s">
        <v>34</v>
      </c>
      <c r="C12" s="19">
        <v>27.23</v>
      </c>
      <c r="D12" s="19">
        <v>75.5</v>
      </c>
      <c r="E12" s="19" t="s">
        <v>54</v>
      </c>
      <c r="F12" t="s">
        <v>59</v>
      </c>
    </row>
    <row r="13" spans="1:6" s="19" customFormat="1" x14ac:dyDescent="0.3">
      <c r="A13" s="19" t="s">
        <v>45</v>
      </c>
      <c r="B13" s="19" t="s">
        <v>34</v>
      </c>
      <c r="C13" s="19">
        <v>27.06</v>
      </c>
      <c r="D13" s="19">
        <v>75.5</v>
      </c>
      <c r="E13" s="19" t="s">
        <v>54</v>
      </c>
      <c r="F13" t="s">
        <v>59</v>
      </c>
    </row>
    <row r="14" spans="1:6" s="19" customFormat="1" x14ac:dyDescent="0.3">
      <c r="A14" s="19" t="s">
        <v>46</v>
      </c>
      <c r="B14" s="19" t="s">
        <v>34</v>
      </c>
      <c r="C14" s="19">
        <v>17.66</v>
      </c>
      <c r="D14" s="19">
        <v>85.5</v>
      </c>
      <c r="E14" t="s">
        <v>26</v>
      </c>
      <c r="F14" t="s">
        <v>21</v>
      </c>
    </row>
    <row r="15" spans="1:6" s="19" customFormat="1" x14ac:dyDescent="0.3">
      <c r="A15" s="19" t="s">
        <v>47</v>
      </c>
      <c r="B15" s="19" t="s">
        <v>34</v>
      </c>
      <c r="C15" s="19">
        <v>17.829999999999998</v>
      </c>
      <c r="D15" s="19">
        <v>85.5</v>
      </c>
      <c r="E15" t="s">
        <v>26</v>
      </c>
      <c r="F15" t="s">
        <v>20</v>
      </c>
    </row>
    <row r="16" spans="1:6" s="19" customFormat="1" x14ac:dyDescent="0.3">
      <c r="A16" s="19" t="s">
        <v>48</v>
      </c>
      <c r="B16" s="19" t="s">
        <v>34</v>
      </c>
      <c r="C16" s="19">
        <v>17.71</v>
      </c>
      <c r="D16" s="19">
        <v>85.5</v>
      </c>
      <c r="E16" t="s">
        <v>26</v>
      </c>
      <c r="F16" t="s">
        <v>20</v>
      </c>
    </row>
    <row r="17" spans="1:6" s="19" customFormat="1" x14ac:dyDescent="0.3">
      <c r="A17" s="19" t="s">
        <v>49</v>
      </c>
      <c r="B17" s="19" t="s">
        <v>34</v>
      </c>
      <c r="C17" s="19">
        <v>17.8</v>
      </c>
      <c r="D17" s="19">
        <v>85.5</v>
      </c>
      <c r="E17" t="s">
        <v>26</v>
      </c>
      <c r="F17" t="s">
        <v>57</v>
      </c>
    </row>
    <row r="18" spans="1:6" s="19" customFormat="1" x14ac:dyDescent="0.3">
      <c r="A18" s="19" t="s">
        <v>50</v>
      </c>
      <c r="B18" s="19" t="s">
        <v>34</v>
      </c>
      <c r="C18" s="19">
        <v>17.829999999999998</v>
      </c>
      <c r="D18" s="19">
        <v>85.5</v>
      </c>
      <c r="E18" t="s">
        <v>26</v>
      </c>
      <c r="F18" t="s">
        <v>57</v>
      </c>
    </row>
    <row r="19" spans="1:6" s="19" customFormat="1" x14ac:dyDescent="0.3">
      <c r="A19" s="19" t="s">
        <v>51</v>
      </c>
      <c r="B19" s="19" t="s">
        <v>34</v>
      </c>
      <c r="C19" s="19">
        <v>17.670000000000002</v>
      </c>
      <c r="D19" s="19">
        <v>85.5</v>
      </c>
      <c r="E19" t="s">
        <v>26</v>
      </c>
      <c r="F19" t="s">
        <v>57</v>
      </c>
    </row>
    <row r="20" spans="1:6" x14ac:dyDescent="0.3">
      <c r="A20" s="19" t="s">
        <v>60</v>
      </c>
      <c r="B20" s="19" t="s">
        <v>34</v>
      </c>
      <c r="C20" s="19">
        <v>17.77</v>
      </c>
      <c r="D20" s="19">
        <v>85.5</v>
      </c>
      <c r="E20" t="s">
        <v>26</v>
      </c>
      <c r="F20" t="s">
        <v>58</v>
      </c>
    </row>
    <row r="21" spans="1:6" x14ac:dyDescent="0.3">
      <c r="A21" s="19" t="s">
        <v>61</v>
      </c>
      <c r="B21" s="19" t="s">
        <v>34</v>
      </c>
      <c r="C21" s="19">
        <v>17.78</v>
      </c>
      <c r="D21" s="19">
        <v>85.5</v>
      </c>
      <c r="E21" t="s">
        <v>26</v>
      </c>
      <c r="F21" t="s">
        <v>58</v>
      </c>
    </row>
    <row r="22" spans="1:6" x14ac:dyDescent="0.3">
      <c r="A22" s="19" t="s">
        <v>62</v>
      </c>
      <c r="B22" s="19" t="s">
        <v>34</v>
      </c>
      <c r="C22" s="19">
        <v>17.7</v>
      </c>
      <c r="D22" s="19">
        <v>85.5</v>
      </c>
      <c r="E22" t="s">
        <v>26</v>
      </c>
      <c r="F22" t="s">
        <v>58</v>
      </c>
    </row>
    <row r="23" spans="1:6" x14ac:dyDescent="0.3">
      <c r="A23" s="19" t="s">
        <v>63</v>
      </c>
      <c r="B23" s="19" t="s">
        <v>34</v>
      </c>
      <c r="C23" s="19">
        <v>17.87</v>
      </c>
      <c r="D23" s="19">
        <v>85.5</v>
      </c>
      <c r="E23" t="s">
        <v>26</v>
      </c>
      <c r="F23" t="s">
        <v>59</v>
      </c>
    </row>
    <row r="24" spans="1:6" x14ac:dyDescent="0.3">
      <c r="A24" s="19" t="s">
        <v>64</v>
      </c>
      <c r="B24" s="19" t="s">
        <v>34</v>
      </c>
      <c r="C24" s="19">
        <v>17.57</v>
      </c>
      <c r="D24" s="19">
        <v>85.5</v>
      </c>
      <c r="E24" t="s">
        <v>26</v>
      </c>
      <c r="F24" t="s">
        <v>59</v>
      </c>
    </row>
    <row r="25" spans="1:6" x14ac:dyDescent="0.3">
      <c r="A25" s="19" t="s">
        <v>65</v>
      </c>
      <c r="B25" s="19" t="s">
        <v>34</v>
      </c>
      <c r="C25" s="19">
        <v>17.8</v>
      </c>
      <c r="D25" s="19">
        <v>85.5</v>
      </c>
      <c r="E25" t="s">
        <v>26</v>
      </c>
      <c r="F25" t="s">
        <v>59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B0BA-96A0-4102-94DA-E3890DBF86CA}">
  <sheetPr codeName="Sheet6"/>
  <dimension ref="A1:R45"/>
  <sheetViews>
    <sheetView zoomScale="90" zoomScaleNormal="90" workbookViewId="0">
      <selection activeCell="H30" sqref="H30"/>
    </sheetView>
  </sheetViews>
  <sheetFormatPr defaultColWidth="9" defaultRowHeight="14" x14ac:dyDescent="0.3"/>
  <cols>
    <col min="1" max="1" width="9.58203125" style="5" bestFit="1" customWidth="1"/>
    <col min="2" max="3" width="9" style="5"/>
    <col min="4" max="4" width="12.75" style="5" bestFit="1" customWidth="1"/>
    <col min="5" max="5" width="12.08203125" style="5" bestFit="1" customWidth="1"/>
    <col min="6" max="6" width="11.5" style="5" customWidth="1"/>
    <col min="7" max="9" width="9" style="5"/>
    <col min="10" max="10" width="11.5" style="5" bestFit="1" customWidth="1"/>
    <col min="11" max="14" width="9" style="5"/>
    <col min="15" max="15" width="13" style="5" bestFit="1" customWidth="1"/>
    <col min="16" max="18" width="9" style="5"/>
    <col min="19" max="19" width="13" style="5" bestFit="1" customWidth="1"/>
    <col min="20" max="16384" width="9" style="5"/>
  </cols>
  <sheetData>
    <row r="1" spans="1:13" x14ac:dyDescent="0.3">
      <c r="A1" s="5" t="s">
        <v>12</v>
      </c>
      <c r="B1" s="4" t="s">
        <v>11</v>
      </c>
      <c r="C1" s="4" t="s">
        <v>66</v>
      </c>
      <c r="D1" s="4" t="s">
        <v>67</v>
      </c>
      <c r="E1" s="4"/>
      <c r="F1" s="4"/>
      <c r="G1" s="4"/>
      <c r="M1" s="6"/>
    </row>
    <row r="2" spans="1:13" x14ac:dyDescent="0.3">
      <c r="A2" s="5" t="s">
        <v>16</v>
      </c>
      <c r="B2" s="5">
        <v>0.14580000000000001</v>
      </c>
      <c r="C2" s="5">
        <v>0.44450000000000001</v>
      </c>
      <c r="D2" s="5">
        <v>0.46660000000000001</v>
      </c>
    </row>
    <row r="3" spans="1:13" x14ac:dyDescent="0.3">
      <c r="B3" s="5">
        <v>0.14280000000000001</v>
      </c>
      <c r="C3" s="5">
        <v>0.43240000000000001</v>
      </c>
      <c r="D3" s="5">
        <v>0.42220000000000002</v>
      </c>
    </row>
    <row r="4" spans="1:13" x14ac:dyDescent="0.3">
      <c r="B4" s="5">
        <v>0.14080000000000001</v>
      </c>
      <c r="C4" s="5">
        <v>0.45040000000000002</v>
      </c>
      <c r="D4" s="5">
        <v>0.43990000000000001</v>
      </c>
    </row>
    <row r="5" spans="1:13" x14ac:dyDescent="0.3">
      <c r="B5" s="5">
        <f>AVERAGE(B2:B4)</f>
        <v>0.14313333333333333</v>
      </c>
    </row>
    <row r="6" spans="1:13" x14ac:dyDescent="0.3">
      <c r="A6" s="5" t="s">
        <v>19</v>
      </c>
      <c r="C6" s="5">
        <f t="shared" ref="C6:D8" si="0">C2-$B$5</f>
        <v>0.30136666666666667</v>
      </c>
      <c r="D6" s="5">
        <f t="shared" si="0"/>
        <v>0.32346666666666668</v>
      </c>
    </row>
    <row r="7" spans="1:13" x14ac:dyDescent="0.3">
      <c r="C7" s="5">
        <f t="shared" si="0"/>
        <v>0.28926666666666667</v>
      </c>
      <c r="D7" s="5">
        <f t="shared" si="0"/>
        <v>0.27906666666666669</v>
      </c>
    </row>
    <row r="8" spans="1:13" x14ac:dyDescent="0.3">
      <c r="C8" s="5">
        <f t="shared" si="0"/>
        <v>0.30726666666666669</v>
      </c>
      <c r="D8" s="5">
        <f t="shared" si="0"/>
        <v>0.29676666666666668</v>
      </c>
    </row>
    <row r="10" spans="1:13" x14ac:dyDescent="0.3">
      <c r="A10" s="5" t="s">
        <v>13</v>
      </c>
      <c r="B10" s="4" t="s">
        <v>11</v>
      </c>
      <c r="C10" s="4" t="s">
        <v>66</v>
      </c>
      <c r="D10" s="4" t="s">
        <v>67</v>
      </c>
      <c r="E10" s="4"/>
      <c r="F10" s="4"/>
      <c r="G10" s="4"/>
      <c r="M10" s="6"/>
    </row>
    <row r="11" spans="1:13" x14ac:dyDescent="0.3">
      <c r="A11" s="5" t="s">
        <v>16</v>
      </c>
      <c r="B11" s="5">
        <v>0.14530000000000001</v>
      </c>
      <c r="C11" s="5">
        <v>0.64080000000000004</v>
      </c>
      <c r="D11" s="5">
        <v>0.85760000000000003</v>
      </c>
    </row>
    <row r="12" spans="1:13" x14ac:dyDescent="0.3">
      <c r="B12" s="5">
        <v>0.14130000000000001</v>
      </c>
      <c r="C12" s="5">
        <v>0.67669999999999997</v>
      </c>
      <c r="D12" s="5">
        <v>0.87039999999999995</v>
      </c>
    </row>
    <row r="13" spans="1:13" x14ac:dyDescent="0.3">
      <c r="B13" s="5">
        <v>0.14430000000000001</v>
      </c>
      <c r="C13" s="5">
        <v>0.65080000000000005</v>
      </c>
      <c r="D13" s="5">
        <v>0.84489999999999998</v>
      </c>
    </row>
    <row r="14" spans="1:13" x14ac:dyDescent="0.3">
      <c r="B14" s="5">
        <f>AVERAGE(B11:B13)</f>
        <v>0.14363333333333336</v>
      </c>
    </row>
    <row r="15" spans="1:13" x14ac:dyDescent="0.3">
      <c r="A15" s="5" t="s">
        <v>19</v>
      </c>
      <c r="C15" s="8">
        <f>C11-$B$14</f>
        <v>0.49716666666666665</v>
      </c>
      <c r="D15" s="8">
        <f>D11-$B$14</f>
        <v>0.71396666666666664</v>
      </c>
      <c r="E15" s="8"/>
      <c r="F15" s="8"/>
      <c r="G15" s="8"/>
    </row>
    <row r="16" spans="1:13" x14ac:dyDescent="0.3">
      <c r="C16" s="8">
        <f t="shared" ref="C16:D17" si="1">C12-$B$14</f>
        <v>0.53306666666666658</v>
      </c>
      <c r="D16" s="8">
        <f t="shared" si="1"/>
        <v>0.72676666666666656</v>
      </c>
      <c r="E16" s="8"/>
      <c r="F16" s="8"/>
      <c r="G16" s="8"/>
    </row>
    <row r="17" spans="1:13" x14ac:dyDescent="0.3">
      <c r="C17" s="8">
        <f t="shared" si="1"/>
        <v>0.50716666666666665</v>
      </c>
      <c r="D17" s="8">
        <f>D13-$B$14</f>
        <v>0.70126666666666659</v>
      </c>
      <c r="E17" s="8"/>
      <c r="F17" s="8"/>
      <c r="G17" s="8"/>
    </row>
    <row r="19" spans="1:13" x14ac:dyDescent="0.3">
      <c r="A19" s="5" t="s">
        <v>14</v>
      </c>
      <c r="B19" s="4" t="s">
        <v>11</v>
      </c>
      <c r="C19" s="4" t="s">
        <v>66</v>
      </c>
      <c r="D19" s="4" t="s">
        <v>67</v>
      </c>
      <c r="E19" s="4"/>
      <c r="F19" s="4"/>
      <c r="G19" s="4"/>
      <c r="M19" s="6"/>
    </row>
    <row r="20" spans="1:13" x14ac:dyDescent="0.3">
      <c r="A20" s="5" t="s">
        <v>16</v>
      </c>
      <c r="B20" s="5">
        <v>0.1426</v>
      </c>
      <c r="C20" s="5">
        <v>0.84789999999999999</v>
      </c>
      <c r="D20" s="5">
        <v>1.0421</v>
      </c>
    </row>
    <row r="21" spans="1:13" x14ac:dyDescent="0.3">
      <c r="B21" s="5">
        <v>0.1472</v>
      </c>
      <c r="C21" s="5">
        <v>0.82340000000000002</v>
      </c>
      <c r="D21" s="5">
        <v>1.0243</v>
      </c>
    </row>
    <row r="22" spans="1:13" x14ac:dyDescent="0.3">
      <c r="B22" s="5">
        <v>0.14510000000000001</v>
      </c>
      <c r="C22" s="5">
        <v>0.83940000000000003</v>
      </c>
      <c r="D22" s="5">
        <v>1.0397000000000001</v>
      </c>
    </row>
    <row r="23" spans="1:13" x14ac:dyDescent="0.3">
      <c r="B23" s="5">
        <f>AVERAGE(B20:B22)</f>
        <v>0.14496666666666666</v>
      </c>
    </row>
    <row r="24" spans="1:13" x14ac:dyDescent="0.3">
      <c r="A24" s="5" t="s">
        <v>19</v>
      </c>
      <c r="C24" s="5">
        <f>C20-$B$23</f>
        <v>0.7029333333333333</v>
      </c>
      <c r="D24" s="5">
        <f>D20-$B$23</f>
        <v>0.89713333333333334</v>
      </c>
    </row>
    <row r="25" spans="1:13" x14ac:dyDescent="0.3">
      <c r="C25" s="5">
        <f t="shared" ref="C25:D26" si="2">C21-$B$23</f>
        <v>0.67843333333333333</v>
      </c>
      <c r="D25" s="5">
        <f t="shared" si="2"/>
        <v>0.8793333333333333</v>
      </c>
    </row>
    <row r="26" spans="1:13" x14ac:dyDescent="0.3">
      <c r="C26" s="5">
        <f t="shared" si="2"/>
        <v>0.69443333333333335</v>
      </c>
      <c r="D26" s="5">
        <f t="shared" si="2"/>
        <v>0.89473333333333338</v>
      </c>
    </row>
    <row r="29" spans="1:13" x14ac:dyDescent="0.3">
      <c r="A29" s="5" t="s">
        <v>15</v>
      </c>
      <c r="B29" s="4" t="s">
        <v>11</v>
      </c>
      <c r="C29" s="4" t="s">
        <v>66</v>
      </c>
      <c r="D29" s="4" t="s">
        <v>67</v>
      </c>
      <c r="E29" s="4"/>
      <c r="F29" s="4"/>
      <c r="G29" s="4"/>
      <c r="M29" s="6"/>
    </row>
    <row r="30" spans="1:13" x14ac:dyDescent="0.3">
      <c r="A30" s="5" t="s">
        <v>16</v>
      </c>
      <c r="B30" s="5">
        <v>0.1404</v>
      </c>
      <c r="C30" s="5">
        <v>1.0525</v>
      </c>
      <c r="D30" s="5">
        <v>1.3411</v>
      </c>
    </row>
    <row r="31" spans="1:13" x14ac:dyDescent="0.3">
      <c r="B31" s="5">
        <v>0.14080000000000001</v>
      </c>
      <c r="C31" s="5">
        <v>1.0396000000000001</v>
      </c>
      <c r="D31" s="5">
        <v>1.3563000000000001</v>
      </c>
    </row>
    <row r="32" spans="1:13" x14ac:dyDescent="0.3">
      <c r="B32" s="5">
        <v>0.14710000000000001</v>
      </c>
      <c r="C32" s="5">
        <v>1.0232000000000001</v>
      </c>
      <c r="D32" s="5">
        <v>1.3210999999999999</v>
      </c>
    </row>
    <row r="33" spans="1:18" x14ac:dyDescent="0.3">
      <c r="B33" s="5">
        <f>AVERAGE(B30:B32)</f>
        <v>0.14276666666666668</v>
      </c>
    </row>
    <row r="34" spans="1:18" x14ac:dyDescent="0.3">
      <c r="A34" s="5" t="s">
        <v>19</v>
      </c>
      <c r="C34" s="8">
        <f>C30-$B$33</f>
        <v>0.90973333333333328</v>
      </c>
      <c r="D34" s="8">
        <f>D30-$B$33</f>
        <v>1.1983333333333333</v>
      </c>
      <c r="E34" s="8"/>
      <c r="F34" s="8"/>
      <c r="G34" s="8"/>
    </row>
    <row r="35" spans="1:18" x14ac:dyDescent="0.3">
      <c r="C35" s="8">
        <f t="shared" ref="C35:D36" si="3">C31-$B$33</f>
        <v>0.89683333333333337</v>
      </c>
      <c r="D35" s="8">
        <f t="shared" si="3"/>
        <v>1.2135333333333334</v>
      </c>
      <c r="E35" s="8"/>
      <c r="F35" s="8"/>
      <c r="G35" s="8"/>
    </row>
    <row r="36" spans="1:18" x14ac:dyDescent="0.3">
      <c r="C36" s="8">
        <f t="shared" si="3"/>
        <v>0.8804333333333334</v>
      </c>
      <c r="D36" s="8">
        <f t="shared" si="3"/>
        <v>1.1783333333333332</v>
      </c>
      <c r="E36" s="8"/>
      <c r="F36" s="8"/>
      <c r="G36" s="8"/>
    </row>
    <row r="38" spans="1:18" x14ac:dyDescent="0.3">
      <c r="B38" s="5" t="s">
        <v>16</v>
      </c>
      <c r="C38" s="25" t="s">
        <v>66</v>
      </c>
      <c r="D38" s="25"/>
      <c r="E38" s="25"/>
      <c r="F38" s="25" t="s">
        <v>67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</row>
    <row r="39" spans="1:18" x14ac:dyDescent="0.3">
      <c r="B39" s="5" t="s">
        <v>12</v>
      </c>
      <c r="C39" s="9">
        <f>C6</f>
        <v>0.30136666666666667</v>
      </c>
      <c r="D39" s="9">
        <f>C7</f>
        <v>0.28926666666666667</v>
      </c>
      <c r="E39" s="9">
        <f>C8</f>
        <v>0.30726666666666669</v>
      </c>
      <c r="F39" s="9">
        <f>D6</f>
        <v>0.32346666666666668</v>
      </c>
      <c r="G39" s="9">
        <f>D7</f>
        <v>0.27906666666666669</v>
      </c>
      <c r="H39" s="9">
        <f>D8</f>
        <v>0.29676666666666668</v>
      </c>
      <c r="I39" s="9"/>
      <c r="J39" s="9"/>
      <c r="K39" s="9"/>
      <c r="L39" s="9"/>
      <c r="M39" s="9"/>
      <c r="N39" s="9"/>
      <c r="O39" s="9"/>
      <c r="P39" s="9"/>
      <c r="Q39" s="12"/>
      <c r="R39" s="7"/>
    </row>
    <row r="40" spans="1:18" x14ac:dyDescent="0.3">
      <c r="B40" s="5" t="s">
        <v>13</v>
      </c>
      <c r="C40" s="9">
        <f>C15</f>
        <v>0.49716666666666665</v>
      </c>
      <c r="D40" s="9">
        <f>C16</f>
        <v>0.53306666666666658</v>
      </c>
      <c r="E40" s="9">
        <f>C17</f>
        <v>0.50716666666666665</v>
      </c>
      <c r="F40" s="9">
        <f>D15</f>
        <v>0.71396666666666664</v>
      </c>
      <c r="G40" s="9">
        <f>D16</f>
        <v>0.72676666666666656</v>
      </c>
      <c r="H40" s="9">
        <f>D17</f>
        <v>0.70126666666666659</v>
      </c>
      <c r="I40" s="9"/>
      <c r="J40" s="9"/>
      <c r="K40" s="9"/>
      <c r="L40" s="9"/>
      <c r="M40" s="9"/>
      <c r="N40" s="9"/>
      <c r="O40" s="9"/>
      <c r="P40" s="9"/>
      <c r="Q40" s="9"/>
      <c r="R40" s="7"/>
    </row>
    <row r="41" spans="1:18" x14ac:dyDescent="0.3">
      <c r="B41" s="5" t="s">
        <v>17</v>
      </c>
      <c r="C41" s="9">
        <f>C24</f>
        <v>0.7029333333333333</v>
      </c>
      <c r="D41" s="9">
        <f>C25</f>
        <v>0.67843333333333333</v>
      </c>
      <c r="E41" s="9">
        <f>C26</f>
        <v>0.69443333333333335</v>
      </c>
      <c r="F41" s="9">
        <f>D24</f>
        <v>0.89713333333333334</v>
      </c>
      <c r="G41" s="9">
        <f>D25</f>
        <v>0.8793333333333333</v>
      </c>
      <c r="H41" s="9">
        <f>D26</f>
        <v>0.89473333333333338</v>
      </c>
      <c r="I41" s="9"/>
      <c r="J41" s="9"/>
      <c r="K41" s="9"/>
      <c r="L41" s="9"/>
      <c r="M41" s="9"/>
      <c r="N41" s="9"/>
      <c r="O41" s="9"/>
      <c r="P41" s="9"/>
      <c r="Q41" s="9"/>
      <c r="R41" s="7"/>
    </row>
    <row r="42" spans="1:18" x14ac:dyDescent="0.3">
      <c r="B42" s="5" t="s">
        <v>18</v>
      </c>
      <c r="C42" s="9">
        <f>C34</f>
        <v>0.90973333333333328</v>
      </c>
      <c r="D42" s="9">
        <f>C35</f>
        <v>0.89683333333333337</v>
      </c>
      <c r="E42" s="9">
        <f>C36</f>
        <v>0.8804333333333334</v>
      </c>
      <c r="F42" s="9">
        <f>D34</f>
        <v>1.1983333333333333</v>
      </c>
      <c r="G42" s="9">
        <f>D35</f>
        <v>1.2135333333333334</v>
      </c>
      <c r="H42" s="9">
        <f>D36</f>
        <v>1.1783333333333332</v>
      </c>
      <c r="I42" s="9"/>
      <c r="J42" s="9"/>
      <c r="K42" s="9"/>
      <c r="L42" s="9"/>
      <c r="M42" s="9"/>
      <c r="N42" s="9"/>
      <c r="O42" s="9"/>
      <c r="P42" s="9"/>
      <c r="Q42" s="9"/>
      <c r="R42" s="7"/>
    </row>
    <row r="43" spans="1:18" x14ac:dyDescent="0.3">
      <c r="R43" s="7"/>
    </row>
    <row r="44" spans="1:18" x14ac:dyDescent="0.3">
      <c r="R44" s="7"/>
    </row>
    <row r="45" spans="1:18" x14ac:dyDescent="0.3"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</row>
  </sheetData>
  <mergeCells count="9">
    <mergeCell ref="O38:Q38"/>
    <mergeCell ref="C45:E45"/>
    <mergeCell ref="F45:H45"/>
    <mergeCell ref="I45:K45"/>
    <mergeCell ref="L45:N45"/>
    <mergeCell ref="C38:E38"/>
    <mergeCell ref="F38:H38"/>
    <mergeCell ref="I38:K38"/>
    <mergeCell ref="L38:N3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F8E9-C04A-4B80-ACEB-7F2905E36893}">
  <sheetPr codeName="Sheet7"/>
  <dimension ref="A1:M13"/>
  <sheetViews>
    <sheetView zoomScaleNormal="100" workbookViewId="0">
      <selection activeCell="J9" sqref="J9"/>
    </sheetView>
  </sheetViews>
  <sheetFormatPr defaultColWidth="9" defaultRowHeight="14" x14ac:dyDescent="0.3"/>
  <cols>
    <col min="1" max="1" width="9" style="4"/>
    <col min="2" max="13" width="7.5" style="4" bestFit="1" customWidth="1"/>
    <col min="14" max="16384" width="9" style="4"/>
  </cols>
  <sheetData>
    <row r="1" spans="1:13" x14ac:dyDescent="0.3">
      <c r="A1" s="13" t="s">
        <v>52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x14ac:dyDescent="0.3">
      <c r="A2" s="4" t="s">
        <v>3</v>
      </c>
      <c r="B2" s="4">
        <v>4.6399999999999997E-2</v>
      </c>
      <c r="C2" s="4">
        <v>4.3200000000000002E-2</v>
      </c>
      <c r="D2" s="4">
        <v>4.0899999999999999E-2</v>
      </c>
      <c r="E2" s="4">
        <v>4.0300000000000002E-2</v>
      </c>
      <c r="F2" s="4">
        <v>4.53E-2</v>
      </c>
      <c r="G2" s="4">
        <v>4.3099999999999999E-2</v>
      </c>
      <c r="H2" s="4">
        <v>4.4699999999999997E-2</v>
      </c>
      <c r="I2" s="4">
        <v>4.3799999999999999E-2</v>
      </c>
      <c r="J2" s="4">
        <v>4.2200000000000001E-2</v>
      </c>
      <c r="K2" s="4">
        <v>4.2900000000000001E-2</v>
      </c>
      <c r="L2" s="4">
        <v>4.6399999999999997E-2</v>
      </c>
      <c r="M2" s="4">
        <v>4.3400000000000001E-2</v>
      </c>
    </row>
    <row r="3" spans="1:13" x14ac:dyDescent="0.3">
      <c r="A3" s="4" t="s">
        <v>4</v>
      </c>
      <c r="B3" s="4">
        <v>4.7500000000000001E-2</v>
      </c>
      <c r="C3" s="4">
        <v>4.4699999999999997E-2</v>
      </c>
      <c r="D3" s="4">
        <v>3.9800000000000002E-2</v>
      </c>
      <c r="E3" s="14">
        <v>0.14580000000000001</v>
      </c>
      <c r="F3" s="14">
        <v>0.44450000000000001</v>
      </c>
      <c r="G3" s="14">
        <v>0.46660000000000001</v>
      </c>
      <c r="H3" s="15">
        <v>0.14530000000000001</v>
      </c>
      <c r="I3" s="15">
        <v>0.64080000000000004</v>
      </c>
      <c r="J3" s="15">
        <v>0.85760000000000003</v>
      </c>
      <c r="K3" s="4">
        <v>4.1500000000000002E-2</v>
      </c>
      <c r="L3" s="4">
        <v>4.3299999999999998E-2</v>
      </c>
      <c r="M3" s="4">
        <v>4.4400000000000002E-2</v>
      </c>
    </row>
    <row r="4" spans="1:13" x14ac:dyDescent="0.3">
      <c r="A4" s="4" t="s">
        <v>5</v>
      </c>
      <c r="B4" s="4">
        <v>4.5999999999999999E-2</v>
      </c>
      <c r="C4" s="4">
        <v>3.9100000000000003E-2</v>
      </c>
      <c r="D4" s="4">
        <v>4.0800000000000003E-2</v>
      </c>
      <c r="E4" s="14">
        <v>0.14280000000000001</v>
      </c>
      <c r="F4" s="14">
        <v>0.43240000000000001</v>
      </c>
      <c r="G4" s="14">
        <v>0.42220000000000002</v>
      </c>
      <c r="H4" s="15">
        <v>0.14130000000000001</v>
      </c>
      <c r="I4" s="15">
        <v>0.67669999999999997</v>
      </c>
      <c r="J4" s="15">
        <v>0.87039999999999995</v>
      </c>
      <c r="K4" s="4">
        <v>4.6100000000000002E-2</v>
      </c>
      <c r="L4" s="4">
        <v>4.4900000000000002E-2</v>
      </c>
      <c r="M4" s="4">
        <v>4.6199999999999998E-2</v>
      </c>
    </row>
    <row r="5" spans="1:13" x14ac:dyDescent="0.3">
      <c r="A5" s="4" t="s">
        <v>6</v>
      </c>
      <c r="B5" s="4">
        <v>4.6300000000000001E-2</v>
      </c>
      <c r="C5" s="4">
        <v>4.1200000000000001E-2</v>
      </c>
      <c r="D5" s="4">
        <v>4.53E-2</v>
      </c>
      <c r="E5" s="14">
        <v>0.14080000000000001</v>
      </c>
      <c r="F5" s="14">
        <v>0.45040000000000002</v>
      </c>
      <c r="G5" s="14">
        <v>0.43990000000000001</v>
      </c>
      <c r="H5" s="15">
        <v>0.14430000000000001</v>
      </c>
      <c r="I5" s="15">
        <v>0.65080000000000005</v>
      </c>
      <c r="J5" s="15">
        <v>0.84489999999999998</v>
      </c>
      <c r="K5" s="4">
        <v>3.9199999999999999E-2</v>
      </c>
      <c r="L5" s="4">
        <v>4.07E-2</v>
      </c>
      <c r="M5" s="4">
        <v>4.6600000000000003E-2</v>
      </c>
    </row>
    <row r="6" spans="1:13" x14ac:dyDescent="0.3">
      <c r="A6" s="4" t="s">
        <v>7</v>
      </c>
      <c r="B6" s="4">
        <v>4.7399999999999998E-2</v>
      </c>
      <c r="C6" s="4">
        <v>4.7300000000000002E-2</v>
      </c>
      <c r="D6" s="4">
        <v>4.6800000000000001E-2</v>
      </c>
      <c r="E6" s="16">
        <v>0.1426</v>
      </c>
      <c r="F6" s="16">
        <v>0.84789999999999999</v>
      </c>
      <c r="G6" s="16">
        <v>1.0421</v>
      </c>
      <c r="H6" s="17">
        <v>0.1404</v>
      </c>
      <c r="I6" s="17">
        <v>1.0525</v>
      </c>
      <c r="J6" s="17">
        <v>1.3411</v>
      </c>
      <c r="K6" s="4">
        <v>3.9399999999999998E-2</v>
      </c>
      <c r="L6" s="4">
        <v>4.2799999999999998E-2</v>
      </c>
      <c r="M6" s="4">
        <v>4.6300000000000001E-2</v>
      </c>
    </row>
    <row r="7" spans="1:13" x14ac:dyDescent="0.3">
      <c r="A7" s="4" t="s">
        <v>8</v>
      </c>
      <c r="B7" s="4">
        <v>4.3099999999999999E-2</v>
      </c>
      <c r="C7" s="4">
        <v>3.95E-2</v>
      </c>
      <c r="D7" s="4">
        <v>4.1599999999999998E-2</v>
      </c>
      <c r="E7" s="16">
        <v>0.1472</v>
      </c>
      <c r="F7" s="16">
        <v>0.82340000000000002</v>
      </c>
      <c r="G7" s="16">
        <v>1.0243</v>
      </c>
      <c r="H7" s="17">
        <v>0.14080000000000001</v>
      </c>
      <c r="I7" s="17">
        <v>1.0396000000000001</v>
      </c>
      <c r="J7" s="17">
        <v>1.3563000000000001</v>
      </c>
      <c r="K7" s="4">
        <v>4.58E-2</v>
      </c>
      <c r="L7" s="4">
        <v>3.9300000000000002E-2</v>
      </c>
      <c r="M7" s="4">
        <v>3.9899999999999998E-2</v>
      </c>
    </row>
    <row r="8" spans="1:13" x14ac:dyDescent="0.3">
      <c r="A8" s="4" t="s">
        <v>9</v>
      </c>
      <c r="B8" s="4">
        <v>4.53E-2</v>
      </c>
      <c r="C8" s="4">
        <v>3.9E-2</v>
      </c>
      <c r="D8" s="4">
        <v>4.7E-2</v>
      </c>
      <c r="E8" s="16">
        <v>0.14510000000000001</v>
      </c>
      <c r="F8" s="16">
        <v>0.83940000000000003</v>
      </c>
      <c r="G8" s="16">
        <v>1.0397000000000001</v>
      </c>
      <c r="H8" s="17">
        <v>0.14710000000000001</v>
      </c>
      <c r="I8" s="17">
        <v>1.0232000000000001</v>
      </c>
      <c r="J8" s="17">
        <v>1.3210999999999999</v>
      </c>
      <c r="K8" s="4">
        <v>4.7899999999999998E-2</v>
      </c>
      <c r="L8" s="4">
        <v>4.6699999999999998E-2</v>
      </c>
      <c r="M8" s="4">
        <v>4.3499999999999997E-2</v>
      </c>
    </row>
    <row r="9" spans="1:13" x14ac:dyDescent="0.3">
      <c r="A9" s="4" t="s">
        <v>10</v>
      </c>
      <c r="B9" s="4">
        <v>4.1399999999999999E-2</v>
      </c>
      <c r="C9" s="4">
        <v>4.4299999999999999E-2</v>
      </c>
      <c r="D9" s="4">
        <v>4.3499999999999997E-2</v>
      </c>
      <c r="E9" s="4">
        <v>4.2700000000000002E-2</v>
      </c>
      <c r="F9" s="4">
        <v>4.2200000000000001E-2</v>
      </c>
      <c r="G9" s="4">
        <v>4.6199999999999998E-2</v>
      </c>
      <c r="H9" s="4">
        <v>4.4699999999999997E-2</v>
      </c>
      <c r="I9" s="4">
        <v>4.7399999999999998E-2</v>
      </c>
      <c r="J9" s="4">
        <v>4.4900000000000002E-2</v>
      </c>
      <c r="K9" s="4">
        <v>4.5499999999999999E-2</v>
      </c>
      <c r="L9" s="4">
        <v>4.2200000000000001E-2</v>
      </c>
      <c r="M9" s="4">
        <v>3.95E-2</v>
      </c>
    </row>
    <row r="11" spans="1:13" x14ac:dyDescent="0.3">
      <c r="E11" s="4" t="s">
        <v>11</v>
      </c>
      <c r="F11" s="4" t="s">
        <v>66</v>
      </c>
      <c r="G11" s="4" t="s">
        <v>67</v>
      </c>
      <c r="H11" s="4" t="s">
        <v>11</v>
      </c>
      <c r="I11" s="4" t="s">
        <v>66</v>
      </c>
      <c r="J11" s="4" t="s">
        <v>67</v>
      </c>
    </row>
    <row r="12" spans="1:13" x14ac:dyDescent="0.3">
      <c r="E12" s="26" t="s">
        <v>12</v>
      </c>
      <c r="F12" s="26"/>
      <c r="G12" s="26"/>
      <c r="H12" s="26" t="s">
        <v>13</v>
      </c>
      <c r="I12" s="26"/>
      <c r="J12" s="26"/>
    </row>
    <row r="13" spans="1:13" x14ac:dyDescent="0.3">
      <c r="E13" s="26" t="s">
        <v>14</v>
      </c>
      <c r="F13" s="26"/>
      <c r="G13" s="26"/>
      <c r="H13" s="26" t="s">
        <v>15</v>
      </c>
      <c r="I13" s="26"/>
      <c r="J13" s="26"/>
    </row>
  </sheetData>
  <mergeCells count="4">
    <mergeCell ref="E12:G12"/>
    <mergeCell ref="H12:J12"/>
    <mergeCell ref="E13:G13"/>
    <mergeCell ref="H13:J1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F05F-C550-4AC2-86C6-B602196EAFCF}">
  <sheetPr codeName="Sheet8"/>
  <dimension ref="A1:M8"/>
  <sheetViews>
    <sheetView workbookViewId="0">
      <selection activeCell="G29" sqref="G29"/>
    </sheetView>
  </sheetViews>
  <sheetFormatPr defaultRowHeight="14" x14ac:dyDescent="0.3"/>
  <cols>
    <col min="6" max="6" width="13.08203125" bestFit="1" customWidth="1"/>
  </cols>
  <sheetData>
    <row r="1" spans="1:13" x14ac:dyDescent="0.3">
      <c r="A1" t="s">
        <v>72</v>
      </c>
      <c r="B1" t="s">
        <v>1</v>
      </c>
      <c r="D1" t="s">
        <v>2</v>
      </c>
      <c r="F1" t="s">
        <v>71</v>
      </c>
      <c r="G1" t="s">
        <v>1</v>
      </c>
      <c r="I1" t="s">
        <v>2</v>
      </c>
    </row>
    <row r="2" spans="1:13" x14ac:dyDescent="0.3">
      <c r="A2">
        <v>1</v>
      </c>
      <c r="B2">
        <v>704670</v>
      </c>
      <c r="C2">
        <f>AVERAGE(B2:B4)</f>
        <v>710022.66666666663</v>
      </c>
      <c r="F2">
        <v>1</v>
      </c>
      <c r="G2">
        <v>674732</v>
      </c>
      <c r="H2">
        <f>G2/G2</f>
        <v>1</v>
      </c>
      <c r="J2">
        <f>AVERAGE(G2:G4)</f>
        <v>708441.33333333337</v>
      </c>
    </row>
    <row r="3" spans="1:13" x14ac:dyDescent="0.3">
      <c r="A3">
        <v>1</v>
      </c>
      <c r="B3">
        <v>665482</v>
      </c>
      <c r="F3">
        <v>1</v>
      </c>
      <c r="G3">
        <v>748887</v>
      </c>
      <c r="H3">
        <f t="shared" ref="H3:H4" si="0">G3/G3</f>
        <v>1</v>
      </c>
    </row>
    <row r="4" spans="1:13" x14ac:dyDescent="0.3">
      <c r="A4">
        <v>1</v>
      </c>
      <c r="B4">
        <v>759916</v>
      </c>
      <c r="F4">
        <v>1</v>
      </c>
      <c r="G4">
        <v>701705</v>
      </c>
      <c r="H4">
        <f t="shared" si="0"/>
        <v>1</v>
      </c>
    </row>
    <row r="5" spans="1:13" x14ac:dyDescent="0.3">
      <c r="A5">
        <v>1</v>
      </c>
      <c r="B5">
        <v>670376</v>
      </c>
      <c r="C5" s="3">
        <f>B5/C2</f>
        <v>0.94416140705367158</v>
      </c>
      <c r="D5" s="10">
        <f>1-C5</f>
        <v>5.5838592946328425E-2</v>
      </c>
      <c r="F5">
        <v>1</v>
      </c>
      <c r="G5">
        <v>575913</v>
      </c>
      <c r="H5" s="3">
        <f>G5/J2</f>
        <v>0.81292969918939417</v>
      </c>
      <c r="I5" s="10">
        <f>1-H5</f>
        <v>0.18707030081060583</v>
      </c>
    </row>
    <row r="6" spans="1:13" x14ac:dyDescent="0.3">
      <c r="A6">
        <v>1</v>
      </c>
      <c r="B6">
        <v>644468</v>
      </c>
      <c r="C6" s="3">
        <f>B6/C2</f>
        <v>0.90767243111487528</v>
      </c>
      <c r="D6" s="10">
        <f t="shared" ref="D6:D7" si="1">1-C6</f>
        <v>9.2327568885124722E-2</v>
      </c>
      <c r="F6">
        <v>1</v>
      </c>
      <c r="G6">
        <v>588577</v>
      </c>
      <c r="H6" s="3">
        <f>G6/J2</f>
        <v>0.83080556188138843</v>
      </c>
      <c r="I6" s="10">
        <f t="shared" ref="I6:I7" si="2">1-H6</f>
        <v>0.16919443811861157</v>
      </c>
    </row>
    <row r="7" spans="1:13" x14ac:dyDescent="0.3">
      <c r="A7">
        <v>1</v>
      </c>
      <c r="B7">
        <v>655440</v>
      </c>
      <c r="C7" s="3">
        <f>B7/C2</f>
        <v>0.92312545890553732</v>
      </c>
      <c r="D7" s="10">
        <f t="shared" si="1"/>
        <v>7.6874541094462678E-2</v>
      </c>
      <c r="F7">
        <v>1</v>
      </c>
      <c r="G7">
        <v>613177</v>
      </c>
      <c r="H7" s="3">
        <f>G7/J2</f>
        <v>0.86552967923949475</v>
      </c>
      <c r="I7" s="10">
        <f t="shared" si="2"/>
        <v>0.13447032076050525</v>
      </c>
    </row>
    <row r="8" spans="1:13" x14ac:dyDescent="0.3">
      <c r="M8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B157-B98D-4847-B267-54B063ED369E}">
  <sheetPr codeName="Sheet10"/>
  <dimension ref="A1:F4"/>
  <sheetViews>
    <sheetView workbookViewId="0">
      <selection activeCell="H29" sqref="H29"/>
    </sheetView>
  </sheetViews>
  <sheetFormatPr defaultRowHeight="14" x14ac:dyDescent="0.3"/>
  <cols>
    <col min="1" max="1" width="11.75" bestFit="1" customWidth="1"/>
    <col min="4" max="4" width="13.08203125" bestFit="1" customWidth="1"/>
  </cols>
  <sheetData>
    <row r="1" spans="1:6" ht="15.5" x14ac:dyDescent="0.3">
      <c r="A1" s="2" t="s">
        <v>69</v>
      </c>
      <c r="C1" t="s">
        <v>70</v>
      </c>
      <c r="D1" t="s">
        <v>71</v>
      </c>
      <c r="E1" s="1"/>
      <c r="F1" s="1"/>
    </row>
    <row r="2" spans="1:6" x14ac:dyDescent="0.3">
      <c r="B2" s="1" t="s">
        <v>0</v>
      </c>
      <c r="C2" s="22">
        <v>228</v>
      </c>
      <c r="D2" s="22">
        <v>509</v>
      </c>
      <c r="E2" s="11"/>
      <c r="F2" s="11"/>
    </row>
    <row r="3" spans="1:6" x14ac:dyDescent="0.3">
      <c r="B3" s="1"/>
      <c r="C3" s="22">
        <v>270</v>
      </c>
      <c r="D3" s="22">
        <v>626</v>
      </c>
      <c r="E3" s="11"/>
      <c r="F3" s="11"/>
    </row>
    <row r="4" spans="1:6" x14ac:dyDescent="0.3">
      <c r="B4" s="1"/>
      <c r="C4" s="22">
        <v>261</v>
      </c>
      <c r="D4" s="22">
        <v>567</v>
      </c>
      <c r="E4" s="11"/>
      <c r="F4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E379-2788-4565-9A80-2AB9055BEB4A}">
  <dimension ref="A1:B4"/>
  <sheetViews>
    <sheetView workbookViewId="0">
      <selection activeCell="H30" sqref="H30"/>
    </sheetView>
  </sheetViews>
  <sheetFormatPr defaultColWidth="9" defaultRowHeight="14" x14ac:dyDescent="0.3"/>
  <cols>
    <col min="1" max="1" width="11.58203125" style="23" customWidth="1"/>
    <col min="2" max="2" width="15.75" style="23" bestFit="1" customWidth="1"/>
    <col min="3" max="16384" width="9" style="23"/>
  </cols>
  <sheetData>
    <row r="1" spans="1:2" x14ac:dyDescent="0.3">
      <c r="A1" s="23" t="s">
        <v>72</v>
      </c>
      <c r="B1" s="23" t="s">
        <v>71</v>
      </c>
    </row>
    <row r="2" spans="1:2" x14ac:dyDescent="0.3">
      <c r="A2" s="23">
        <v>928</v>
      </c>
      <c r="B2" s="23">
        <v>501</v>
      </c>
    </row>
    <row r="3" spans="1:2" x14ac:dyDescent="0.3">
      <c r="A3" s="23">
        <v>1025</v>
      </c>
      <c r="B3" s="23">
        <v>770</v>
      </c>
    </row>
    <row r="4" spans="1:2" x14ac:dyDescent="0.3">
      <c r="A4" s="23">
        <v>813</v>
      </c>
      <c r="B4" s="23">
        <v>429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0DA9-0FF1-48D2-A263-61819EDCABA3}">
  <dimension ref="A1:B4"/>
  <sheetViews>
    <sheetView workbookViewId="0">
      <selection activeCell="F8" sqref="F8"/>
    </sheetView>
  </sheetViews>
  <sheetFormatPr defaultColWidth="9" defaultRowHeight="14" x14ac:dyDescent="0.3"/>
  <cols>
    <col min="1" max="1" width="10.25" style="23" bestFit="1" customWidth="1"/>
    <col min="2" max="2" width="15.75" style="23" bestFit="1" customWidth="1"/>
    <col min="3" max="16384" width="9" style="23"/>
  </cols>
  <sheetData>
    <row r="1" spans="1:2" x14ac:dyDescent="0.3">
      <c r="A1" s="23" t="s">
        <v>72</v>
      </c>
      <c r="B1" s="23" t="s">
        <v>71</v>
      </c>
    </row>
    <row r="2" spans="1:2" x14ac:dyDescent="0.3">
      <c r="A2" s="23">
        <v>9.16</v>
      </c>
      <c r="B2" s="23">
        <v>2.54</v>
      </c>
    </row>
    <row r="3" spans="1:2" x14ac:dyDescent="0.3">
      <c r="A3" s="23">
        <v>11.4</v>
      </c>
      <c r="B3" s="23">
        <v>1.79</v>
      </c>
    </row>
    <row r="4" spans="1:2" x14ac:dyDescent="0.3">
      <c r="A4" s="23">
        <v>8.4499999999999993</v>
      </c>
      <c r="B4" s="23">
        <v>4.25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PCR 1</vt:lpstr>
      <vt:lpstr>PCR 1 raw data</vt:lpstr>
      <vt:lpstr>PCR 2</vt:lpstr>
      <vt:lpstr>PCR2 raw data</vt:lpstr>
      <vt:lpstr>CCK-8</vt:lpstr>
      <vt:lpstr>CCK-8 raw data</vt:lpstr>
      <vt:lpstr>Scratch</vt:lpstr>
      <vt:lpstr>Transwell</vt:lpstr>
      <vt:lpstr>ROS</vt:lpstr>
      <vt:lpstr>Flow cytometry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Ada</cp:lastModifiedBy>
  <dcterms:created xsi:type="dcterms:W3CDTF">2015-06-05T18:19:34Z</dcterms:created>
  <dcterms:modified xsi:type="dcterms:W3CDTF">2025-12-22T05:34:29Z</dcterms:modified>
</cp:coreProperties>
</file>